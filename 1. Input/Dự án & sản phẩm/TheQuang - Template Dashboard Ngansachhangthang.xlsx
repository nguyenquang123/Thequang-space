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10. Innovation Team\7. NGUYEN THE QUANG\7. Repo\Quản lý cá nhân\"/>
    </mc:Choice>
  </mc:AlternateContent>
  <xr:revisionPtr revIDLastSave="0" documentId="13_ncr:1_{61AA1D38-085B-420D-8601-54F088F781E5}" xr6:coauthVersionLast="47" xr6:coauthVersionMax="47" xr10:uidLastSave="{00000000-0000-0000-0000-000000000000}"/>
  <bookViews>
    <workbookView xWindow="-28920" yWindow="-6900" windowWidth="29040" windowHeight="15720" xr2:uid="{00000000-000D-0000-FFFF-FFFF00000000}"/>
  </bookViews>
  <sheets>
    <sheet name="Tóm tắt" sheetId="1" r:id="rId1"/>
    <sheet name="Giao dịch" sheetId="2" r:id="rId2"/>
  </sheets>
  <definedNames>
    <definedName name="StartingBalance">'Tóm tắt'!$L$8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1" l="1"/>
  <c r="L29" i="1" s="1"/>
  <c r="K30" i="1"/>
  <c r="L30" i="1" s="1"/>
  <c r="E28" i="1"/>
  <c r="F28" i="1" s="1"/>
  <c r="E29" i="1"/>
  <c r="F29" i="1" s="1"/>
  <c r="E30" i="1"/>
  <c r="F30" i="1" s="1"/>
  <c r="E31" i="1"/>
  <c r="F31" i="1" s="1"/>
  <c r="D26" i="1"/>
  <c r="C21" i="1" s="1"/>
  <c r="D17" i="1"/>
  <c r="L44" i="1"/>
  <c r="K44" i="1"/>
  <c r="F44" i="1"/>
  <c r="E44" i="1"/>
  <c r="L41" i="1"/>
  <c r="K41" i="1"/>
  <c r="E41" i="1"/>
  <c r="F41" i="1" s="1"/>
  <c r="L40" i="1"/>
  <c r="K40" i="1"/>
  <c r="E40" i="1"/>
  <c r="F40" i="1" s="1"/>
  <c r="L39" i="1"/>
  <c r="K39" i="1"/>
  <c r="E39" i="1"/>
  <c r="F39" i="1" s="1"/>
  <c r="L38" i="1"/>
  <c r="K38" i="1"/>
  <c r="E38" i="1"/>
  <c r="F38" i="1" s="1"/>
  <c r="L37" i="1"/>
  <c r="K37" i="1"/>
  <c r="E37" i="1"/>
  <c r="F37" i="1" s="1"/>
  <c r="L36" i="1"/>
  <c r="K36" i="1"/>
  <c r="E36" i="1"/>
  <c r="F36" i="1" s="1"/>
  <c r="L35" i="1"/>
  <c r="K35" i="1"/>
  <c r="E35" i="1"/>
  <c r="F35" i="1" s="1"/>
  <c r="L34" i="1"/>
  <c r="K34" i="1"/>
  <c r="E34" i="1"/>
  <c r="F34" i="1" s="1"/>
  <c r="K33" i="1"/>
  <c r="L33" i="1" s="1"/>
  <c r="E33" i="1"/>
  <c r="F33" i="1" s="1"/>
  <c r="K32" i="1"/>
  <c r="L32" i="1" s="1"/>
  <c r="E32" i="1"/>
  <c r="F32" i="1" s="1"/>
  <c r="K31" i="1"/>
  <c r="L31" i="1" s="1"/>
  <c r="K28" i="1"/>
  <c r="L27" i="1"/>
  <c r="K27" i="1"/>
  <c r="F27" i="1"/>
  <c r="E27" i="1"/>
  <c r="J26" i="1"/>
  <c r="I21" i="1"/>
  <c r="I16" i="1"/>
  <c r="K26" i="1" l="1"/>
  <c r="I22" i="1" s="1"/>
  <c r="J22" i="1" s="1"/>
  <c r="E26" i="1"/>
  <c r="C22" i="1" s="1"/>
  <c r="D22" i="1" s="1"/>
  <c r="F26" i="1"/>
  <c r="L28" i="1"/>
  <c r="L26" i="1" s="1"/>
  <c r="J21" i="1" l="1"/>
  <c r="E17" i="1"/>
  <c r="I13" i="1" s="1"/>
  <c r="I14" i="1" s="1"/>
  <c r="D21" i="1"/>
  <c r="I15" i="1" l="1"/>
</calcChain>
</file>

<file path=xl/sharedStrings.xml><?xml version="1.0" encoding="utf-8"?>
<sst xmlns="http://schemas.openxmlformats.org/spreadsheetml/2006/main" count="64" uniqueCount="41">
  <si>
    <t>Thay đổi hoặc thêm danh mục bằng cách cập nhật các bảng Chi phí và Thu nhập trong trang tính Tóm tắt.</t>
  </si>
  <si>
    <t>Chi phí</t>
  </si>
  <si>
    <t>Thu nhập</t>
  </si>
  <si>
    <t>BẮT ĐẦU</t>
  </si>
  <si>
    <t>GHI CHÚ</t>
  </si>
  <si>
    <t>Ngày</t>
  </si>
  <si>
    <t>Số tiền</t>
  </si>
  <si>
    <t>Mô tả</t>
  </si>
  <si>
    <t>Danh mục</t>
  </si>
  <si>
    <t>Đặt số dư đầu kỳ của bạn trong ô L8, sau đó tùy chỉnh các danh mục và số tiền chi tiêu dự kiến vào các bảng 'Thu nhập' và 'Chi phí' bên dưới.</t>
  </si>
  <si>
    <t>Chỉ chỉnh sửa các ô được đánh dấu.</t>
  </si>
  <si>
    <t>Tiền thuê</t>
  </si>
  <si>
    <t xml:space="preserve">Hạn chế thay đổi các ô có chứa công thức. </t>
  </si>
  <si>
    <t>Khi bạn nhập dữ liệu vào tab 'Giao dịch', trang tính này sẽ tự động cập nhật để hiển thị bản tóm tắt chi tiêu của bạn trong tháng.</t>
  </si>
  <si>
    <t>Nhà</t>
  </si>
  <si>
    <t>Chi phiếu trả lương</t>
  </si>
  <si>
    <t>Ngân sách hàng tháng</t>
  </si>
  <si>
    <t xml:space="preserve">Số dư đầu kỳ: </t>
  </si>
  <si>
    <t xml:space="preserve">SỐ DƯ ĐẦU KỲ </t>
  </si>
  <si>
    <t xml:space="preserve"> SỐ DƯ CUỐI KỲ</t>
  </si>
  <si>
    <t>Dự kiến</t>
  </si>
  <si>
    <t>Thực tế</t>
  </si>
  <si>
    <t>Chênh lệch</t>
  </si>
  <si>
    <t>Tổng</t>
  </si>
  <si>
    <t>Thực phẩm</t>
  </si>
  <si>
    <t>Tiết kiệm</t>
  </si>
  <si>
    <t>Quà tặng</t>
  </si>
  <si>
    <t>Sức khỏe/y tế</t>
  </si>
  <si>
    <t>Tiền thưởng</t>
  </si>
  <si>
    <t>Lãi</t>
  </si>
  <si>
    <t>Phương tiện vận chuyển</t>
  </si>
  <si>
    <t>Khác</t>
  </si>
  <si>
    <t>Cá nhân</t>
  </si>
  <si>
    <t xml:space="preserve">Danh mục tùy chỉnh </t>
  </si>
  <si>
    <t>Vật nuôi</t>
  </si>
  <si>
    <t>Dịch vụ công cộng</t>
  </si>
  <si>
    <t>Đi lại</t>
  </si>
  <si>
    <t>Nợ</t>
  </si>
  <si>
    <t>Danh mục tùy chỉnh 1</t>
  </si>
  <si>
    <t>Danh mục tùy chỉnh 2</t>
  </si>
  <si>
    <t>Danh mục tùy chỉnh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</si>
</sst>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&quot;/&quot;mm&quot;/&quot;yyyy"/>
    <numFmt numFmtId="165" formatCode="#,##0.00[$ ₫]"/>
    <numFmt numFmtId="166" formatCode="#,##0[$ ₫]"/>
    <numFmt numFmtId="167" formatCode="mmmm&quot; &quot;yyyy"/>
    <numFmt numFmtId="168" formatCode="&quot;$&quot;#,##0"/>
    <numFmt numFmtId="169" formatCode="\+#,###%;\-#,###%;0%"/>
    <numFmt numFmtId="170" formatCode="\+#,##0[$ ₫]"/>
    <numFmt numFmtId="171" formatCode="\+\$#,###;\-\$#,###;\$0"/>
  </numFmts>
  <fonts count="50" x14ac:knownFonts="1">
    <font>
      <sz val="10"/>
      <color rgb="FF000000"/>
      <name val="Arial"/>
    </font>
    <font>
      <i/>
      <sz val="10"/>
      <color rgb="FF708090"/>
      <name val="Arial"/>
    </font>
    <font>
      <sz val="10"/>
      <name val="Arial"/>
    </font>
    <font>
      <i/>
      <sz val="10"/>
      <color rgb="FFCCCCCC"/>
      <name val="Arial"/>
    </font>
    <font>
      <sz val="10"/>
      <color rgb="FFF46524"/>
      <name val="Arial"/>
    </font>
    <font>
      <b/>
      <sz val="18"/>
      <color rgb="FFF46524"/>
      <name val="Roboto"/>
    </font>
    <font>
      <sz val="9"/>
      <color rgb="FFFFFFFF"/>
      <name val="Arial"/>
    </font>
    <font>
      <b/>
      <sz val="9"/>
      <color rgb="FFFFFFFF"/>
      <name val="Arial"/>
    </font>
    <font>
      <b/>
      <sz val="11"/>
      <color rgb="FF334960"/>
      <name val="Arial"/>
    </font>
    <font>
      <sz val="9"/>
      <color rgb="FFCCCCCC"/>
      <name val="Arial"/>
    </font>
    <font>
      <sz val="10"/>
      <color rgb="FFCCCCCC"/>
      <name val="Arial"/>
    </font>
    <font>
      <sz val="10"/>
      <color rgb="FF687887"/>
      <name val="Arial"/>
    </font>
    <font>
      <i/>
      <sz val="10"/>
      <color rgb="FF334960"/>
      <name val="Arial"/>
    </font>
    <font>
      <b/>
      <sz val="10"/>
      <color rgb="FF576475"/>
      <name val="Arial"/>
    </font>
    <font>
      <sz val="10"/>
      <color rgb="FF556376"/>
      <name val="Arial"/>
    </font>
    <font>
      <sz val="10"/>
      <name val="Arial"/>
    </font>
    <font>
      <sz val="10"/>
      <color rgb="FF334960"/>
      <name val="Arial"/>
    </font>
    <font>
      <sz val="10"/>
      <color rgb="FF576475"/>
      <name val="Arial"/>
    </font>
    <font>
      <b/>
      <sz val="24"/>
      <color rgb="FFF46524"/>
      <name val="Roboto"/>
    </font>
    <font>
      <sz val="10"/>
      <color rgb="FF334960"/>
      <name val="Arial"/>
    </font>
    <font>
      <b/>
      <sz val="10"/>
      <color rgb="FF334960"/>
      <name val="Arial"/>
    </font>
    <font>
      <b/>
      <sz val="25"/>
      <color rgb="FF334960"/>
      <name val="Arial"/>
    </font>
    <font>
      <b/>
      <sz val="10"/>
      <name val="Arial"/>
    </font>
    <font>
      <sz val="10"/>
      <name val="Arial"/>
    </font>
    <font>
      <sz val="24"/>
      <color rgb="FF334960"/>
      <name val="Arial"/>
    </font>
    <font>
      <b/>
      <sz val="24"/>
      <color rgb="FF334960"/>
      <name val="Arial"/>
    </font>
    <font>
      <i/>
      <sz val="10"/>
      <color rgb="FF576475"/>
      <name val="Arial"/>
    </font>
    <font>
      <b/>
      <sz val="10"/>
      <name val="Arial"/>
    </font>
    <font>
      <b/>
      <sz val="14"/>
      <color rgb="FF334960"/>
      <name val="Arial"/>
    </font>
    <font>
      <b/>
      <sz val="14"/>
      <color rgb="FFF46524"/>
      <name val="Arial"/>
    </font>
    <font>
      <i/>
      <sz val="10"/>
      <color rgb="FFF46524"/>
      <name val="Arial"/>
    </font>
    <font>
      <sz val="14"/>
      <name val="Arial"/>
    </font>
    <font>
      <b/>
      <sz val="10"/>
      <color rgb="FF334960"/>
      <name val="Arial"/>
    </font>
    <font>
      <b/>
      <sz val="10"/>
      <color rgb="FF666666"/>
      <name val="Arial"/>
    </font>
    <font>
      <sz val="10"/>
      <color rgb="FF666666"/>
      <name val="Arial"/>
    </font>
    <font>
      <b/>
      <sz val="10"/>
      <color rgb="FFF46524"/>
      <name val="Arial"/>
    </font>
    <font>
      <b/>
      <sz val="17"/>
      <color rgb="FFF46524"/>
      <name val="Roboto"/>
    </font>
    <font>
      <b/>
      <sz val="18"/>
      <color rgb="FFF46524"/>
      <name val="Arial"/>
    </font>
    <font>
      <b/>
      <sz val="17"/>
      <color rgb="FF334960"/>
      <name val="Arial"/>
    </font>
    <font>
      <b/>
      <sz val="18"/>
      <color rgb="FF334960"/>
      <name val="Arial"/>
    </font>
    <font>
      <sz val="18"/>
      <color rgb="FF334960"/>
      <name val="Arial"/>
    </font>
    <font>
      <i/>
      <sz val="9"/>
      <color rgb="FF687887"/>
      <name val="Arial"/>
    </font>
    <font>
      <b/>
      <sz val="10"/>
      <color rgb="FF434343"/>
      <name val="Arial"/>
    </font>
    <font>
      <sz val="10"/>
      <color rgb="FF434343"/>
      <name val="Arial"/>
    </font>
    <font>
      <b/>
      <sz val="10"/>
      <color rgb="FF434343"/>
      <name val="Arial"/>
    </font>
    <font>
      <sz val="10"/>
      <color rgb="FF434343"/>
      <name val="Arial"/>
    </font>
    <font>
      <sz val="10"/>
      <color theme="7" tint="0.79998168889431442"/>
      <name val="Arial"/>
      <family val="2"/>
    </font>
    <font>
      <sz val="10"/>
      <color theme="3" tint="0.79998168889431442"/>
      <name val="Arial"/>
      <family val="2"/>
    </font>
    <font>
      <b/>
      <sz val="11"/>
      <color rgb="FFC00000"/>
      <name val="Arial"/>
      <family val="2"/>
    </font>
    <font>
      <b/>
      <sz val="10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dotted">
        <color rgb="FFB7B7B7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/>
      <top/>
      <bottom style="dotted">
        <color rgb="FFB7B7B7"/>
      </bottom>
      <diagonal/>
    </border>
    <border>
      <left/>
      <right/>
      <top style="hair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A7B0BF"/>
      </top>
      <bottom/>
      <diagonal/>
    </border>
    <border>
      <left/>
      <right/>
      <top/>
      <bottom style="thin">
        <color rgb="FFA7B0B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2" borderId="0" xfId="0" applyFont="1" applyFill="1" applyAlignment="1">
      <alignment vertical="center" wrapText="1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2" borderId="0" xfId="0" applyFont="1" applyFill="1" applyAlignment="1">
      <alignment vertical="top" wrapText="1"/>
    </xf>
    <xf numFmtId="0" fontId="9" fillId="2" borderId="0" xfId="0" applyFont="1" applyFill="1" applyAlignment="1">
      <alignment horizontal="left" vertical="top" wrapText="1"/>
    </xf>
    <xf numFmtId="164" fontId="11" fillId="0" borderId="2" xfId="0" applyNumberFormat="1" applyFont="1" applyBorder="1" applyAlignment="1">
      <alignment horizontal="left" vertical="center"/>
    </xf>
    <xf numFmtId="0" fontId="10" fillId="2" borderId="0" xfId="0" applyFont="1" applyFill="1" applyAlignment="1">
      <alignment vertical="top" wrapText="1"/>
    </xf>
    <xf numFmtId="0" fontId="14" fillId="0" borderId="2" xfId="0" applyFont="1" applyBorder="1" applyAlignment="1">
      <alignment horizontal="left" vertical="center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>
      <alignment horizontal="left" wrapText="1"/>
    </xf>
    <xf numFmtId="0" fontId="15" fillId="2" borderId="0" xfId="0" applyFont="1" applyFill="1"/>
    <xf numFmtId="0" fontId="15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1" fillId="0" borderId="2" xfId="0" applyFont="1" applyBorder="1" applyAlignment="1">
      <alignment horizontal="left" vertical="center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right" vertical="top"/>
    </xf>
    <xf numFmtId="0" fontId="17" fillId="0" borderId="2" xfId="0" applyFont="1" applyBorder="1" applyAlignment="1">
      <alignment horizontal="left" vertical="center"/>
    </xf>
    <xf numFmtId="0" fontId="4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15" fillId="0" borderId="0" xfId="0" applyFont="1"/>
    <xf numFmtId="164" fontId="11" fillId="0" borderId="3" xfId="0" applyNumberFormat="1" applyFont="1" applyBorder="1" applyAlignment="1">
      <alignment horizontal="left" vertical="center"/>
    </xf>
    <xf numFmtId="166" fontId="19" fillId="3" borderId="0" xfId="0" applyNumberFormat="1" applyFont="1" applyFill="1" applyAlignment="1">
      <alignment vertical="center"/>
    </xf>
    <xf numFmtId="0" fontId="14" fillId="0" borderId="3" xfId="0" applyFont="1" applyBorder="1" applyAlignment="1">
      <alignment horizontal="left" vertical="center"/>
    </xf>
    <xf numFmtId="0" fontId="12" fillId="0" borderId="0" xfId="0" applyFont="1" applyAlignment="1">
      <alignment vertical="top"/>
    </xf>
    <xf numFmtId="0" fontId="11" fillId="0" borderId="3" xfId="0" applyFont="1" applyBorder="1" applyAlignment="1">
      <alignment horizontal="left" vertical="center"/>
    </xf>
    <xf numFmtId="167" fontId="21" fillId="4" borderId="0" xfId="0" applyNumberFormat="1" applyFont="1" applyFill="1" applyAlignment="1">
      <alignment horizontal="left" vertical="top"/>
    </xf>
    <xf numFmtId="0" fontId="17" fillId="0" borderId="3" xfId="0" applyFont="1" applyBorder="1" applyAlignment="1">
      <alignment horizontal="left" vertical="center"/>
    </xf>
    <xf numFmtId="0" fontId="22" fillId="0" borderId="0" xfId="0" applyFont="1"/>
    <xf numFmtId="0" fontId="2" fillId="0" borderId="0" xfId="0" applyFont="1" applyAlignment="1">
      <alignment horizontal="left"/>
    </xf>
    <xf numFmtId="0" fontId="15" fillId="5" borderId="4" xfId="0" applyFont="1" applyFill="1" applyBorder="1"/>
    <xf numFmtId="0" fontId="15" fillId="5" borderId="5" xfId="0" applyFont="1" applyFill="1" applyBorder="1"/>
    <xf numFmtId="0" fontId="2" fillId="5" borderId="6" xfId="0" applyFont="1" applyFill="1" applyBorder="1"/>
    <xf numFmtId="0" fontId="15" fillId="5" borderId="8" xfId="0" applyFont="1" applyFill="1" applyBorder="1"/>
    <xf numFmtId="0" fontId="15" fillId="5" borderId="0" xfId="0" applyFont="1" applyFill="1"/>
    <xf numFmtId="0" fontId="15" fillId="5" borderId="9" xfId="0" applyFont="1" applyFill="1" applyBorder="1"/>
    <xf numFmtId="168" fontId="2" fillId="0" borderId="0" xfId="0" applyNumberFormat="1" applyFont="1"/>
    <xf numFmtId="0" fontId="25" fillId="0" borderId="0" xfId="0" applyFont="1" applyAlignment="1">
      <alignment horizontal="left"/>
    </xf>
    <xf numFmtId="9" fontId="25" fillId="0" borderId="0" xfId="0" applyNumberFormat="1" applyFont="1" applyAlignment="1">
      <alignment horizontal="left"/>
    </xf>
    <xf numFmtId="164" fontId="11" fillId="0" borderId="11" xfId="0" applyNumberFormat="1" applyFont="1" applyBorder="1" applyAlignment="1">
      <alignment horizontal="left" vertical="center"/>
    </xf>
    <xf numFmtId="166" fontId="13" fillId="0" borderId="11" xfId="0" applyNumberFormat="1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27" fillId="0" borderId="0" xfId="0" applyFont="1"/>
    <xf numFmtId="0" fontId="11" fillId="0" borderId="11" xfId="0" applyFont="1" applyBorder="1" applyAlignment="1">
      <alignment horizontal="left" vertical="center"/>
    </xf>
    <xf numFmtId="0" fontId="28" fillId="0" borderId="7" xfId="0" applyFont="1" applyBorder="1" applyAlignment="1">
      <alignment horizontal="right"/>
    </xf>
    <xf numFmtId="168" fontId="29" fillId="0" borderId="0" xfId="0" applyNumberFormat="1" applyFont="1" applyAlignment="1">
      <alignment horizontal="left"/>
    </xf>
    <xf numFmtId="168" fontId="22" fillId="0" borderId="0" xfId="0" applyNumberFormat="1" applyFont="1"/>
    <xf numFmtId="0" fontId="17" fillId="0" borderId="11" xfId="0" applyFont="1" applyBorder="1" applyAlignment="1">
      <alignment horizontal="left" vertical="center"/>
    </xf>
    <xf numFmtId="0" fontId="26" fillId="0" borderId="0" xfId="0" applyFont="1" applyAlignment="1">
      <alignment horizontal="left" vertical="top"/>
    </xf>
    <xf numFmtId="166" fontId="26" fillId="0" borderId="7" xfId="0" applyNumberFormat="1" applyFont="1" applyBorder="1" applyAlignment="1">
      <alignment horizontal="center" vertical="top"/>
    </xf>
    <xf numFmtId="166" fontId="30" fillId="0" borderId="0" xfId="0" applyNumberFormat="1" applyFont="1" applyAlignment="1">
      <alignment horizontal="center" vertical="top"/>
    </xf>
    <xf numFmtId="0" fontId="15" fillId="0" borderId="0" xfId="0" applyFont="1" applyAlignment="1">
      <alignment vertical="center"/>
    </xf>
    <xf numFmtId="0" fontId="15" fillId="5" borderId="12" xfId="0" applyFont="1" applyFill="1" applyBorder="1"/>
    <xf numFmtId="0" fontId="15" fillId="5" borderId="13" xfId="0" applyFont="1" applyFill="1" applyBorder="1"/>
    <xf numFmtId="0" fontId="15" fillId="5" borderId="13" xfId="0" applyFont="1" applyFill="1" applyBorder="1" applyAlignment="1">
      <alignment vertical="top"/>
    </xf>
    <xf numFmtId="0" fontId="15" fillId="5" borderId="14" xfId="0" applyFont="1" applyFill="1" applyBorder="1"/>
    <xf numFmtId="0" fontId="31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166" fontId="17" fillId="0" borderId="0" xfId="0" applyNumberFormat="1" applyFont="1" applyAlignment="1">
      <alignment horizontal="right" vertical="center"/>
    </xf>
    <xf numFmtId="0" fontId="32" fillId="0" borderId="0" xfId="0" applyFont="1" applyAlignment="1">
      <alignment horizontal="left" vertical="center"/>
    </xf>
    <xf numFmtId="166" fontId="16" fillId="0" borderId="0" xfId="0" applyNumberFormat="1" applyFont="1" applyAlignment="1">
      <alignment horizontal="right" vertical="center"/>
    </xf>
    <xf numFmtId="0" fontId="33" fillId="0" borderId="0" xfId="0" applyFont="1" applyAlignment="1">
      <alignment horizontal="left"/>
    </xf>
    <xf numFmtId="168" fontId="34" fillId="0" borderId="0" xfId="0" applyNumberFormat="1" applyFont="1" applyAlignment="1">
      <alignment horizontal="right"/>
    </xf>
    <xf numFmtId="0" fontId="35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35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16" fillId="0" borderId="15" xfId="0" applyFont="1" applyBorder="1"/>
    <xf numFmtId="0" fontId="8" fillId="0" borderId="16" xfId="0" applyFont="1" applyBorder="1" applyAlignment="1">
      <alignment horizontal="right"/>
    </xf>
    <xf numFmtId="0" fontId="38" fillId="0" borderId="16" xfId="0" applyFont="1" applyBorder="1" applyAlignment="1">
      <alignment horizontal="left"/>
    </xf>
    <xf numFmtId="0" fontId="16" fillId="0" borderId="15" xfId="0" applyFont="1" applyBorder="1" applyAlignment="1">
      <alignment horizontal="right"/>
    </xf>
    <xf numFmtId="0" fontId="39" fillId="0" borderId="16" xfId="0" applyFont="1" applyBorder="1" applyAlignment="1">
      <alignment horizontal="left"/>
    </xf>
    <xf numFmtId="0" fontId="40" fillId="0" borderId="16" xfId="0" applyFont="1" applyBorder="1" applyAlignment="1">
      <alignment horizontal="left"/>
    </xf>
    <xf numFmtId="0" fontId="41" fillId="0" borderId="0" xfId="0" applyFont="1" applyAlignment="1">
      <alignment vertical="top"/>
    </xf>
    <xf numFmtId="0" fontId="41" fillId="0" borderId="17" xfId="0" applyFont="1" applyBorder="1" applyAlignment="1">
      <alignment vertical="top"/>
    </xf>
    <xf numFmtId="166" fontId="41" fillId="0" borderId="17" xfId="0" applyNumberFormat="1" applyFont="1" applyBorder="1" applyAlignment="1">
      <alignment horizontal="right" vertical="top"/>
    </xf>
    <xf numFmtId="0" fontId="41" fillId="0" borderId="0" xfId="0" applyFont="1" applyAlignment="1">
      <alignment horizontal="right" vertical="top"/>
    </xf>
    <xf numFmtId="0" fontId="41" fillId="0" borderId="17" xfId="0" applyFont="1" applyBorder="1" applyAlignment="1">
      <alignment horizontal="left" vertical="top"/>
    </xf>
    <xf numFmtId="0" fontId="41" fillId="0" borderId="17" xfId="0" applyFont="1" applyBorder="1" applyAlignment="1">
      <alignment horizontal="right" vertical="top"/>
    </xf>
    <xf numFmtId="170" fontId="41" fillId="0" borderId="17" xfId="0" applyNumberFormat="1" applyFont="1" applyBorder="1" applyAlignment="1">
      <alignment horizontal="right" vertical="top"/>
    </xf>
    <xf numFmtId="0" fontId="16" fillId="0" borderId="0" xfId="0" applyFont="1" applyAlignment="1">
      <alignment vertical="center"/>
    </xf>
    <xf numFmtId="166" fontId="43" fillId="0" borderId="20" xfId="0" applyNumberFormat="1" applyFont="1" applyBorder="1" applyAlignment="1">
      <alignment horizontal="right" vertical="center"/>
    </xf>
    <xf numFmtId="166" fontId="43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166" fontId="43" fillId="0" borderId="23" xfId="0" applyNumberFormat="1" applyFont="1" applyBorder="1" applyAlignment="1">
      <alignment horizontal="right" vertical="center"/>
    </xf>
    <xf numFmtId="166" fontId="43" fillId="0" borderId="26" xfId="0" applyNumberFormat="1" applyFont="1" applyBorder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170" fontId="1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6" fontId="43" fillId="0" borderId="26" xfId="0" applyNumberFormat="1" applyFont="1" applyBorder="1" applyAlignment="1">
      <alignment vertical="center"/>
    </xf>
    <xf numFmtId="14" fontId="2" fillId="0" borderId="0" xfId="0" applyNumberFormat="1" applyFont="1" applyAlignment="1">
      <alignment horizontal="right" vertical="center"/>
    </xf>
    <xf numFmtId="168" fontId="45" fillId="0" borderId="26" xfId="0" applyNumberFormat="1" applyFont="1" applyBorder="1"/>
    <xf numFmtId="168" fontId="43" fillId="0" borderId="0" xfId="0" applyNumberFormat="1" applyFont="1" applyAlignment="1">
      <alignment horizontal="right" vertical="center"/>
    </xf>
    <xf numFmtId="171" fontId="11" fillId="0" borderId="0" xfId="0" applyNumberFormat="1" applyFont="1" applyAlignment="1">
      <alignment horizontal="right" vertical="center"/>
    </xf>
    <xf numFmtId="166" fontId="43" fillId="0" borderId="26" xfId="0" applyNumberFormat="1" applyFont="1" applyBorder="1" applyAlignment="1">
      <alignment horizontal="right"/>
    </xf>
    <xf numFmtId="168" fontId="42" fillId="0" borderId="26" xfId="0" applyNumberFormat="1" applyFont="1" applyBorder="1" applyAlignment="1">
      <alignment vertical="center"/>
    </xf>
    <xf numFmtId="168" fontId="43" fillId="0" borderId="26" xfId="0" applyNumberFormat="1" applyFont="1" applyBorder="1" applyAlignment="1">
      <alignment horizontal="right"/>
    </xf>
    <xf numFmtId="0" fontId="44" fillId="0" borderId="26" xfId="0" applyFont="1" applyBorder="1"/>
    <xf numFmtId="168" fontId="43" fillId="0" borderId="26" xfId="0" applyNumberFormat="1" applyFont="1" applyBorder="1" applyAlignment="1">
      <alignment horizontal="right" vertical="center"/>
    </xf>
    <xf numFmtId="0" fontId="44" fillId="0" borderId="24" xfId="0" applyFont="1" applyBorder="1"/>
    <xf numFmtId="0" fontId="23" fillId="0" borderId="25" xfId="0" applyFont="1" applyBorder="1"/>
    <xf numFmtId="168" fontId="42" fillId="0" borderId="24" xfId="0" applyNumberFormat="1" applyFont="1" applyBorder="1" applyAlignment="1">
      <alignment vertical="center"/>
    </xf>
    <xf numFmtId="168" fontId="42" fillId="0" borderId="18" xfId="0" applyNumberFormat="1" applyFont="1" applyBorder="1" applyAlignment="1">
      <alignment vertical="center"/>
    </xf>
    <xf numFmtId="0" fontId="23" fillId="0" borderId="19" xfId="0" applyFont="1" applyBorder="1"/>
    <xf numFmtId="168" fontId="42" fillId="0" borderId="21" xfId="0" applyNumberFormat="1" applyFont="1" applyBorder="1" applyAlignment="1">
      <alignment vertical="center"/>
    </xf>
    <xf numFmtId="0" fontId="23" fillId="0" borderId="22" xfId="0" applyFont="1" applyBorder="1"/>
    <xf numFmtId="0" fontId="0" fillId="0" borderId="0" xfId="0"/>
    <xf numFmtId="0" fontId="2" fillId="4" borderId="0" xfId="0" applyFont="1" applyFill="1"/>
    <xf numFmtId="0" fontId="36" fillId="0" borderId="0" xfId="0" applyFont="1" applyAlignment="1">
      <alignment horizontal="left" vertical="top"/>
    </xf>
    <xf numFmtId="9" fontId="26" fillId="5" borderId="0" xfId="0" applyNumberFormat="1" applyFont="1" applyFill="1" applyAlignment="1">
      <alignment horizontal="center" vertical="top"/>
    </xf>
    <xf numFmtId="0" fontId="15" fillId="5" borderId="0" xfId="0" applyFont="1" applyFill="1"/>
    <xf numFmtId="0" fontId="28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169" fontId="24" fillId="5" borderId="0" xfId="0" applyNumberFormat="1" applyFont="1" applyFill="1" applyAlignment="1">
      <alignment horizontal="center"/>
    </xf>
    <xf numFmtId="0" fontId="26" fillId="5" borderId="10" xfId="0" applyFont="1" applyFill="1" applyBorder="1" applyAlignment="1">
      <alignment horizontal="center" vertical="top"/>
    </xf>
    <xf numFmtId="0" fontId="23" fillId="0" borderId="10" xfId="0" applyFont="1" applyBorder="1"/>
    <xf numFmtId="166" fontId="24" fillId="5" borderId="0" xfId="0" applyNumberFormat="1" applyFont="1" applyFill="1" applyAlignment="1">
      <alignment horizontal="center"/>
    </xf>
    <xf numFmtId="0" fontId="18" fillId="4" borderId="0" xfId="0" applyFont="1" applyFill="1" applyAlignment="1">
      <alignment horizontal="center" vertical="top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top" wrapText="1"/>
    </xf>
    <xf numFmtId="0" fontId="1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/>
    <xf numFmtId="0" fontId="0" fillId="0" borderId="0" xfId="0" applyAlignment="1"/>
    <xf numFmtId="168" fontId="2" fillId="0" borderId="7" xfId="0" applyNumberFormat="1" applyFont="1" applyBorder="1" applyAlignment="1"/>
    <xf numFmtId="0" fontId="23" fillId="0" borderId="7" xfId="0" applyFont="1" applyBorder="1" applyAlignment="1"/>
    <xf numFmtId="0" fontId="46" fillId="4" borderId="0" xfId="0" applyFont="1" applyFill="1" applyAlignment="1">
      <alignment vertical="center"/>
    </xf>
    <xf numFmtId="0" fontId="46" fillId="0" borderId="0" xfId="0" applyFont="1"/>
    <xf numFmtId="0" fontId="47" fillId="4" borderId="0" xfId="0" applyFont="1" applyFill="1" applyAlignment="1">
      <alignment vertical="center"/>
    </xf>
    <xf numFmtId="0" fontId="47" fillId="0" borderId="0" xfId="0" applyFont="1"/>
    <xf numFmtId="0" fontId="48" fillId="0" borderId="0" xfId="0" applyFont="1" applyAlignment="1">
      <alignment horizontal="left" vertical="center"/>
    </xf>
    <xf numFmtId="165" fontId="49" fillId="0" borderId="2" xfId="0" applyNumberFormat="1" applyFont="1" applyBorder="1" applyAlignment="1">
      <alignment horizontal="left" vertical="center"/>
    </xf>
    <xf numFmtId="166" fontId="49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10"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2F-4CC1-B486-62A18F86C852}"/>
              </c:ext>
            </c:extLst>
          </c:dPt>
          <c:cat>
            <c:strRef>
              <c:f>'Tóm tắt'!$D$16:$E$16</c:f>
              <c:strCache>
                <c:ptCount val="2"/>
                <c:pt idx="0">
                  <c:v>SỐ DƯ ĐẦU KỲ </c:v>
                </c:pt>
                <c:pt idx="1">
                  <c:v> SỐ DƯ CUỐI KỲ</c:v>
                </c:pt>
              </c:strCache>
            </c:strRef>
          </c:cat>
          <c:val>
            <c:numRef>
              <c:f>'Tóm tắt'!$D$17:$E$17</c:f>
              <c:numCache>
                <c:formatCode>#,##0[$ ₫]</c:formatCode>
                <c:ptCount val="2"/>
                <c:pt idx="0">
                  <c:v>10000000</c:v>
                </c:pt>
                <c:pt idx="1">
                  <c:v>32000000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F-4CC1-B486-62A18F86C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595295"/>
        <c:axId val="1437174351"/>
      </c:barChart>
      <c:catAx>
        <c:axId val="1232595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7174351"/>
        <c:crosses val="autoZero"/>
        <c:auto val="1"/>
        <c:lblAlgn val="ctr"/>
        <c:lblOffset val="100"/>
        <c:noMultiLvlLbl val="0"/>
      </c:catAx>
      <c:valAx>
        <c:axId val="1437174351"/>
        <c:scaling>
          <c:orientation val="minMax"/>
        </c:scaling>
        <c:delete val="0"/>
        <c:axPos val="l"/>
        <c:numFmt formatCode="#,##0[$ ₫]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59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28575</xdr:rowOff>
    </xdr:from>
    <xdr:to>
      <xdr:col>5</xdr:col>
      <xdr:colOff>836295</xdr:colOff>
      <xdr:row>15</xdr:row>
      <xdr:rowOff>20956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DA5DD-697E-2335-DA69-2A7376432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4"/>
  <sheetViews>
    <sheetView showGridLines="0" tabSelected="1" workbookViewId="0">
      <selection activeCell="N16" sqref="N16"/>
    </sheetView>
  </sheetViews>
  <sheetFormatPr defaultColWidth="12.6640625" defaultRowHeight="15.75" customHeight="1" x14ac:dyDescent="0.25"/>
  <cols>
    <col min="1" max="1" width="6.109375" customWidth="1"/>
    <col min="2" max="6" width="13.21875" customWidth="1"/>
    <col min="7" max="7" width="10.77734375" customWidth="1"/>
    <col min="8" max="11" width="12.44140625" customWidth="1"/>
    <col min="12" max="12" width="13.5546875" bestFit="1" customWidth="1"/>
    <col min="13" max="13" width="6.109375" customWidth="1"/>
  </cols>
  <sheetData>
    <row r="1" spans="1:13" ht="12" customHeight="1" x14ac:dyDescent="0.25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</row>
    <row r="2" spans="1:13" ht="21" customHeight="1" x14ac:dyDescent="0.25">
      <c r="A2" s="6"/>
      <c r="B2" s="129" t="s">
        <v>3</v>
      </c>
      <c r="C2" s="117"/>
      <c r="D2" s="117"/>
      <c r="E2" s="117"/>
      <c r="F2" s="117"/>
      <c r="G2" s="117"/>
      <c r="H2" s="117"/>
      <c r="I2" s="130" t="s">
        <v>4</v>
      </c>
      <c r="J2" s="117"/>
      <c r="K2" s="117"/>
      <c r="L2" s="117"/>
      <c r="M2" s="6"/>
    </row>
    <row r="3" spans="1:13" ht="16.5" customHeight="1" x14ac:dyDescent="0.25">
      <c r="A3" s="11"/>
      <c r="B3" s="131" t="s">
        <v>9</v>
      </c>
      <c r="C3" s="117"/>
      <c r="D3" s="117"/>
      <c r="E3" s="117"/>
      <c r="F3" s="117"/>
      <c r="G3" s="117"/>
      <c r="H3" s="12"/>
      <c r="I3" s="132" t="s">
        <v>10</v>
      </c>
      <c r="J3" s="117"/>
      <c r="K3" s="117"/>
      <c r="L3" s="117"/>
      <c r="M3" s="14"/>
    </row>
    <row r="4" spans="1:13" ht="10.5" customHeight="1" x14ac:dyDescent="0.25">
      <c r="A4" s="11"/>
      <c r="B4" s="117"/>
      <c r="C4" s="117"/>
      <c r="D4" s="117"/>
      <c r="E4" s="117"/>
      <c r="F4" s="117"/>
      <c r="G4" s="117"/>
      <c r="H4" s="12"/>
      <c r="I4" s="133" t="s">
        <v>12</v>
      </c>
      <c r="J4" s="117"/>
      <c r="K4" s="117"/>
      <c r="L4" s="117"/>
      <c r="M4" s="117"/>
    </row>
    <row r="5" spans="1:13" ht="13.2" x14ac:dyDescent="0.25">
      <c r="A5" s="11"/>
      <c r="B5" s="131" t="s">
        <v>13</v>
      </c>
      <c r="C5" s="117"/>
      <c r="D5" s="117"/>
      <c r="E5" s="117"/>
      <c r="F5" s="117"/>
      <c r="G5" s="117"/>
      <c r="H5" s="12"/>
      <c r="I5" s="117"/>
      <c r="J5" s="117"/>
      <c r="K5" s="117"/>
      <c r="L5" s="117"/>
      <c r="M5" s="117"/>
    </row>
    <row r="6" spans="1:13" ht="23.25" customHeight="1" x14ac:dyDescent="0.25">
      <c r="A6" s="16"/>
      <c r="B6" s="117"/>
      <c r="C6" s="117"/>
      <c r="D6" s="117"/>
      <c r="E6" s="117"/>
      <c r="F6" s="117"/>
      <c r="G6" s="117"/>
      <c r="H6" s="17"/>
      <c r="I6" s="18"/>
      <c r="J6" s="18"/>
      <c r="K6" s="18"/>
      <c r="L6" s="18"/>
      <c r="M6" s="18"/>
    </row>
    <row r="7" spans="1:13" ht="30" customHeight="1" x14ac:dyDescent="0.25">
      <c r="A7" s="7"/>
      <c r="B7" s="19"/>
      <c r="C7" s="19"/>
      <c r="D7" s="19"/>
      <c r="E7" s="20"/>
      <c r="F7" s="22"/>
      <c r="G7" s="23"/>
      <c r="H7" s="22"/>
      <c r="I7" s="22"/>
      <c r="J7" s="22"/>
      <c r="K7" s="22"/>
      <c r="L7" s="22"/>
      <c r="M7" s="22"/>
    </row>
    <row r="8" spans="1:13" ht="18" customHeight="1" x14ac:dyDescent="0.25">
      <c r="A8" s="25"/>
      <c r="B8" s="128" t="s">
        <v>16</v>
      </c>
      <c r="C8" s="128"/>
      <c r="D8" s="128"/>
      <c r="E8" s="128"/>
      <c r="F8" s="128"/>
      <c r="G8" s="26"/>
      <c r="H8" s="22"/>
      <c r="I8" s="27"/>
      <c r="J8" s="123" t="s">
        <v>17</v>
      </c>
      <c r="K8" s="117"/>
      <c r="L8" s="29">
        <v>10000000</v>
      </c>
      <c r="M8" s="22"/>
    </row>
    <row r="9" spans="1:13" ht="18" customHeight="1" x14ac:dyDescent="0.25">
      <c r="A9" s="25"/>
      <c r="B9" s="128"/>
      <c r="C9" s="128"/>
      <c r="D9" s="128"/>
      <c r="E9" s="128"/>
      <c r="F9" s="128"/>
      <c r="G9" s="26"/>
      <c r="H9" s="22"/>
      <c r="I9" s="31"/>
      <c r="J9" s="22"/>
      <c r="K9" s="22"/>
      <c r="L9" s="26"/>
      <c r="M9" s="22"/>
    </row>
    <row r="10" spans="1:13" ht="18" customHeight="1" x14ac:dyDescent="0.25">
      <c r="A10" s="22"/>
      <c r="B10" s="33"/>
      <c r="C10" s="33"/>
      <c r="D10" s="33"/>
      <c r="E10" s="33"/>
      <c r="F10" s="22"/>
      <c r="G10" s="26"/>
      <c r="H10" s="22"/>
      <c r="I10" s="31"/>
      <c r="J10" s="22"/>
      <c r="K10" s="22"/>
      <c r="L10" s="26"/>
      <c r="M10" s="22"/>
    </row>
    <row r="11" spans="1:13" ht="12" customHeight="1" x14ac:dyDescent="0.25">
      <c r="A11" s="7"/>
      <c r="B11" s="35"/>
      <c r="C11" s="35"/>
      <c r="D11" s="36"/>
      <c r="E11" s="7"/>
      <c r="F11" s="7"/>
      <c r="G11" s="27"/>
      <c r="H11" s="37"/>
      <c r="I11" s="38"/>
      <c r="J11" s="38"/>
      <c r="K11" s="38"/>
      <c r="L11" s="39"/>
      <c r="M11" s="7"/>
    </row>
    <row r="12" spans="1:13" ht="18" customHeight="1" x14ac:dyDescent="0.25">
      <c r="A12" s="27"/>
      <c r="B12" s="7"/>
      <c r="C12" s="27"/>
      <c r="D12" s="136"/>
      <c r="E12" s="134"/>
      <c r="F12" s="7"/>
      <c r="G12" s="7"/>
      <c r="H12" s="40"/>
      <c r="I12" s="41"/>
      <c r="J12" s="41"/>
      <c r="K12" s="41"/>
      <c r="L12" s="42"/>
      <c r="M12" s="27"/>
    </row>
    <row r="13" spans="1:13" ht="30" x14ac:dyDescent="0.5">
      <c r="A13" s="27"/>
      <c r="B13" s="7"/>
      <c r="D13" s="137"/>
      <c r="E13" s="135"/>
      <c r="F13" s="7"/>
      <c r="G13" s="7"/>
      <c r="H13" s="40"/>
      <c r="I13" s="124">
        <f>IFERROR(E17/D17-1, "")</f>
        <v>2.2000000000000002</v>
      </c>
      <c r="J13" s="117"/>
      <c r="K13" s="117"/>
      <c r="L13" s="42"/>
      <c r="M13" s="44"/>
    </row>
    <row r="14" spans="1:13" ht="24" customHeight="1" x14ac:dyDescent="0.5">
      <c r="A14" s="7"/>
      <c r="B14" s="7"/>
      <c r="C14" s="43"/>
      <c r="D14" s="137"/>
      <c r="E14" s="135"/>
      <c r="F14" s="7"/>
      <c r="G14" s="7"/>
      <c r="H14" s="40"/>
      <c r="I14" s="125" t="str">
        <f>IF(I13 &lt; 0, "Mức giảm tổng tiết kiệm", "Mức tăng tổng tiết kiệm")</f>
        <v>Mức tăng tổng tiết kiệm</v>
      </c>
      <c r="J14" s="126"/>
      <c r="K14" s="126"/>
      <c r="L14" s="42"/>
      <c r="M14" s="45"/>
    </row>
    <row r="15" spans="1:13" ht="39.75" customHeight="1" x14ac:dyDescent="0.5">
      <c r="A15" s="7"/>
      <c r="B15" s="7"/>
      <c r="C15" s="43"/>
      <c r="D15" s="137"/>
      <c r="E15" s="135"/>
      <c r="F15" s="7"/>
      <c r="G15" s="43"/>
      <c r="H15" s="40"/>
      <c r="I15" s="127">
        <f>IFERROR(E17-D17, 0)</f>
        <v>22000000</v>
      </c>
      <c r="J15" s="117"/>
      <c r="K15" s="117"/>
      <c r="L15" s="42"/>
      <c r="M15" s="45"/>
    </row>
    <row r="16" spans="1:13" ht="18" customHeight="1" x14ac:dyDescent="0.3">
      <c r="A16" s="7"/>
      <c r="B16" s="35"/>
      <c r="C16" s="49"/>
      <c r="D16" s="51" t="s">
        <v>18</v>
      </c>
      <c r="E16" s="52" t="s">
        <v>19</v>
      </c>
      <c r="F16" s="49"/>
      <c r="G16" s="53"/>
      <c r="H16" s="40"/>
      <c r="I16" s="120" t="str">
        <f>IF(J15&lt;0, "Chi tiêu tháng này", "Tiết kiệm tháng này")</f>
        <v>Tiết kiệm tháng này</v>
      </c>
      <c r="J16" s="117"/>
      <c r="K16" s="117"/>
      <c r="L16" s="42"/>
      <c r="M16" s="55"/>
    </row>
    <row r="17" spans="1:13" ht="18" customHeight="1" x14ac:dyDescent="0.25">
      <c r="A17" s="27"/>
      <c r="B17" s="7"/>
      <c r="C17" s="27"/>
      <c r="D17" s="56">
        <f>IF(ISBLANK(L8),0,L8)</f>
        <v>10000000</v>
      </c>
      <c r="E17" s="57">
        <f>D17+(I22-C22)</f>
        <v>32000000</v>
      </c>
      <c r="F17" s="27"/>
      <c r="G17" s="43"/>
      <c r="H17" s="40"/>
      <c r="I17" s="121"/>
      <c r="J17" s="117"/>
      <c r="K17" s="117"/>
      <c r="L17" s="42"/>
      <c r="M17" s="27"/>
    </row>
    <row r="18" spans="1:13" ht="12" customHeight="1" x14ac:dyDescent="0.25">
      <c r="A18" s="27"/>
      <c r="B18" s="58"/>
      <c r="C18" s="58"/>
      <c r="D18" s="58"/>
      <c r="E18" s="58"/>
      <c r="F18" s="58"/>
      <c r="G18" s="27"/>
      <c r="H18" s="59"/>
      <c r="I18" s="60"/>
      <c r="J18" s="61"/>
      <c r="K18" s="60"/>
      <c r="L18" s="62"/>
      <c r="M18" s="27"/>
    </row>
    <row r="19" spans="1:13" ht="24" customHeight="1" x14ac:dyDescent="0.25">
      <c r="A19" s="27"/>
      <c r="B19" s="58"/>
      <c r="C19" s="58"/>
      <c r="D19" s="58"/>
      <c r="E19" s="58"/>
      <c r="F19" s="58"/>
      <c r="G19" s="27"/>
      <c r="H19" s="27"/>
      <c r="I19" s="27"/>
      <c r="J19" s="19"/>
      <c r="K19" s="27"/>
      <c r="L19" s="27"/>
      <c r="M19" s="27"/>
    </row>
    <row r="20" spans="1:13" ht="24" customHeight="1" x14ac:dyDescent="0.25">
      <c r="A20" s="63"/>
      <c r="B20" s="122" t="s">
        <v>1</v>
      </c>
      <c r="C20" s="117"/>
      <c r="D20" s="117"/>
      <c r="E20" s="117"/>
      <c r="F20" s="117"/>
      <c r="G20" s="63"/>
      <c r="H20" s="64" t="s">
        <v>2</v>
      </c>
      <c r="I20" s="64"/>
      <c r="J20" s="65"/>
      <c r="K20" s="63"/>
      <c r="L20" s="63"/>
      <c r="M20" s="63"/>
    </row>
    <row r="21" spans="1:13" ht="19.5" customHeight="1" x14ac:dyDescent="0.25">
      <c r="A21" s="66"/>
      <c r="B21" s="67" t="s">
        <v>20</v>
      </c>
      <c r="C21" s="68">
        <f>D26</f>
        <v>3100000</v>
      </c>
      <c r="D21" s="138" t="str">
        <f>REPT("█",ROUND(C21/MAX($C$21:$C$22)*20,0))</f>
        <v>████████████████</v>
      </c>
      <c r="E21" s="139"/>
      <c r="F21" s="139"/>
      <c r="G21" s="66"/>
      <c r="H21" s="67" t="s">
        <v>20</v>
      </c>
      <c r="I21" s="68">
        <f>J26</f>
        <v>25000000</v>
      </c>
      <c r="J21" s="138" t="str">
        <f>REPT("█",ROUND(I22/MAX($I$21:$I$22)*20,0))</f>
        <v>████████████████████</v>
      </c>
      <c r="K21" s="139"/>
      <c r="L21" s="139"/>
      <c r="M21" s="66"/>
    </row>
    <row r="22" spans="1:13" ht="19.5" customHeight="1" x14ac:dyDescent="0.25">
      <c r="A22" s="9"/>
      <c r="B22" s="69" t="s">
        <v>21</v>
      </c>
      <c r="C22" s="70">
        <f>E26</f>
        <v>4000000</v>
      </c>
      <c r="D22" s="140" t="str">
        <f>REPT("█",ROUND(C22/MAX($C$21:$C$22)*20,0))</f>
        <v>████████████████████</v>
      </c>
      <c r="E22" s="141"/>
      <c r="F22" s="141"/>
      <c r="G22" s="58"/>
      <c r="H22" s="69" t="s">
        <v>21</v>
      </c>
      <c r="I22" s="70">
        <f>K26</f>
        <v>26000000</v>
      </c>
      <c r="J22" s="140" t="str">
        <f>REPT("█",ROUND(I22/MAX($I$21:$I$22)*20,0))</f>
        <v>████████████████████</v>
      </c>
      <c r="K22" s="141"/>
      <c r="L22" s="141"/>
      <c r="M22" s="9"/>
    </row>
    <row r="23" spans="1:13" ht="30" customHeight="1" x14ac:dyDescent="0.25">
      <c r="A23" s="7"/>
      <c r="B23" s="71"/>
      <c r="C23" s="72"/>
      <c r="D23" s="118"/>
      <c r="E23" s="117"/>
      <c r="F23" s="117"/>
      <c r="G23" s="7"/>
      <c r="H23" s="71"/>
      <c r="I23" s="72"/>
      <c r="J23" s="118"/>
      <c r="K23" s="117"/>
      <c r="L23" s="117"/>
      <c r="M23" s="9"/>
    </row>
    <row r="24" spans="1:13" ht="29.25" customHeight="1" x14ac:dyDescent="0.25">
      <c r="A24" s="73"/>
      <c r="B24" s="119" t="s">
        <v>1</v>
      </c>
      <c r="C24" s="117"/>
      <c r="D24" s="74"/>
      <c r="E24" s="74"/>
      <c r="F24" s="74"/>
      <c r="G24" s="75"/>
      <c r="H24" s="76" t="s">
        <v>2</v>
      </c>
      <c r="I24" s="77"/>
      <c r="J24" s="74"/>
      <c r="K24" s="74"/>
      <c r="L24" s="74"/>
      <c r="M24" s="73"/>
    </row>
    <row r="25" spans="1:13" ht="19.5" customHeight="1" x14ac:dyDescent="0.4">
      <c r="A25" s="78"/>
      <c r="B25" s="79"/>
      <c r="C25" s="80"/>
      <c r="D25" s="79" t="s">
        <v>20</v>
      </c>
      <c r="E25" s="79" t="s">
        <v>21</v>
      </c>
      <c r="F25" s="79" t="s">
        <v>22</v>
      </c>
      <c r="G25" s="81"/>
      <c r="H25" s="82"/>
      <c r="I25" s="83"/>
      <c r="J25" s="79" t="s">
        <v>20</v>
      </c>
      <c r="K25" s="79" t="s">
        <v>21</v>
      </c>
      <c r="L25" s="79" t="s">
        <v>22</v>
      </c>
      <c r="M25" s="78"/>
    </row>
    <row r="26" spans="1:13" ht="17.25" customHeight="1" x14ac:dyDescent="0.25">
      <c r="A26" s="84"/>
      <c r="B26" s="85" t="s">
        <v>23</v>
      </c>
      <c r="C26" s="85"/>
      <c r="D26" s="86">
        <f>SUM(D27:D44)</f>
        <v>3100000</v>
      </c>
      <c r="E26" s="86">
        <f t="shared" ref="D26:F26" si="0">SUM(E27:E44)</f>
        <v>4000000</v>
      </c>
      <c r="F26" s="86">
        <f t="shared" si="0"/>
        <v>-900000</v>
      </c>
      <c r="G26" s="87"/>
      <c r="H26" s="88" t="s">
        <v>23</v>
      </c>
      <c r="I26" s="89"/>
      <c r="J26" s="86">
        <f t="shared" ref="J26:L26" si="1">SUM(J27:J44)</f>
        <v>25000000</v>
      </c>
      <c r="K26" s="86">
        <f t="shared" si="1"/>
        <v>26000000</v>
      </c>
      <c r="L26" s="90">
        <f t="shared" si="1"/>
        <v>1000000</v>
      </c>
      <c r="M26" s="84"/>
    </row>
    <row r="27" spans="1:13" ht="18" hidden="1" customHeight="1" x14ac:dyDescent="0.25">
      <c r="A27" s="91"/>
      <c r="B27" s="113"/>
      <c r="C27" s="114"/>
      <c r="D27" s="92"/>
      <c r="E27" s="93" t="str">
        <f>IF(ISBLANK($B27), "", SUMIF('Giao dịch'!$E:$E,$B27,'Giao dịch'!$C:$C))</f>
        <v/>
      </c>
      <c r="F27" s="93" t="str">
        <f t="shared" ref="F27:F41" si="2">IF(ISBLANK($B27), "", D27-E27)</f>
        <v/>
      </c>
      <c r="G27" s="94"/>
      <c r="H27" s="115"/>
      <c r="I27" s="116"/>
      <c r="J27" s="95"/>
      <c r="K27" s="93" t="str">
        <f>IF(ISBLANK($H27), "", SUMIF('Giao dịch'!$J:$J,$H27,'Giao dịch'!$H:$H))</f>
        <v/>
      </c>
      <c r="L27" s="93" t="str">
        <f t="shared" ref="L27:L41" si="3">IF(ISBLANK($H27), "", K27-J27)</f>
        <v/>
      </c>
      <c r="M27" s="91"/>
    </row>
    <row r="28" spans="1:13" ht="18" customHeight="1" x14ac:dyDescent="0.25">
      <c r="A28" s="91"/>
      <c r="B28" s="112" t="s">
        <v>24</v>
      </c>
      <c r="C28" s="111"/>
      <c r="D28" s="96">
        <v>1200000</v>
      </c>
      <c r="E28" s="93">
        <f>IF(ISBLANK($B28), "", SUMIF('Giao dịch'!$E:$E,$B28,'Giao dịch'!$C:$C))</f>
        <v>1500000</v>
      </c>
      <c r="F28" s="97">
        <f t="shared" si="2"/>
        <v>-300000</v>
      </c>
      <c r="G28" s="94"/>
      <c r="H28" s="112" t="s">
        <v>25</v>
      </c>
      <c r="I28" s="111"/>
      <c r="J28" s="96">
        <v>0</v>
      </c>
      <c r="K28" s="93">
        <f>IF(ISBLANK($H28), "", SUMIF('Giao dịch'!$J:$J,$H28,'Giao dịch'!$H:$H))</f>
        <v>0</v>
      </c>
      <c r="L28" s="97">
        <f t="shared" si="3"/>
        <v>0</v>
      </c>
      <c r="M28" s="91"/>
    </row>
    <row r="29" spans="1:13" ht="18" customHeight="1" x14ac:dyDescent="0.25">
      <c r="A29" s="91"/>
      <c r="B29" s="112" t="s">
        <v>26</v>
      </c>
      <c r="C29" s="111"/>
      <c r="D29" s="96">
        <v>0</v>
      </c>
      <c r="E29" s="93">
        <f>IF(ISBLANK($B29), "", SUMIF('Giao dịch'!$E:$E,$B29,'Giao dịch'!$C:$C))</f>
        <v>0</v>
      </c>
      <c r="F29" s="97">
        <f t="shared" si="2"/>
        <v>0</v>
      </c>
      <c r="G29" s="94"/>
      <c r="H29" s="112" t="s">
        <v>15</v>
      </c>
      <c r="I29" s="111"/>
      <c r="J29" s="96">
        <v>25000000</v>
      </c>
      <c r="K29" s="93">
        <f>IF(ISBLANK($H29), "", SUMIF('Giao dịch'!$J:$J,$H29,'Giao dịch'!$H:$H))</f>
        <v>26000000</v>
      </c>
      <c r="L29" s="98">
        <f>IF(ISBLANK($H29), "", K29-J29)</f>
        <v>1000000</v>
      </c>
      <c r="M29" s="91"/>
    </row>
    <row r="30" spans="1:13" ht="18" customHeight="1" x14ac:dyDescent="0.25">
      <c r="A30" s="9"/>
      <c r="B30" s="112" t="s">
        <v>27</v>
      </c>
      <c r="C30" s="111"/>
      <c r="D30" s="96">
        <v>200000</v>
      </c>
      <c r="E30" s="93">
        <f>IF(ISBLANK($B30), "", SUMIF('Giao dịch'!$E:$E,$B30,'Giao dịch'!$C:$C))</f>
        <v>500000</v>
      </c>
      <c r="F30" s="97">
        <f t="shared" si="2"/>
        <v>-300000</v>
      </c>
      <c r="G30" s="99"/>
      <c r="H30" s="112" t="s">
        <v>28</v>
      </c>
      <c r="I30" s="111"/>
      <c r="J30" s="96">
        <v>0</v>
      </c>
      <c r="K30" s="93">
        <f>IF(ISBLANK($H30), "", SUMIF('Giao dịch'!$J:$J,$H30,'Giao dịch'!$H:$H))</f>
        <v>0</v>
      </c>
      <c r="L30" s="97">
        <f t="shared" si="3"/>
        <v>0</v>
      </c>
      <c r="M30" s="9"/>
    </row>
    <row r="31" spans="1:13" ht="18" customHeight="1" x14ac:dyDescent="0.25">
      <c r="A31" s="9"/>
      <c r="B31" s="112" t="s">
        <v>14</v>
      </c>
      <c r="C31" s="111"/>
      <c r="D31" s="96">
        <v>1700000</v>
      </c>
      <c r="E31" s="93">
        <f>IF(ISBLANK($B31), "", SUMIF('Giao dịch'!$E:$E,$B31,'Giao dịch'!$C:$C))</f>
        <v>1700000</v>
      </c>
      <c r="F31" s="97">
        <f>IF(ISBLANK($B31), "", D31-E31)</f>
        <v>0</v>
      </c>
      <c r="G31" s="99"/>
      <c r="H31" s="112" t="s">
        <v>29</v>
      </c>
      <c r="I31" s="111"/>
      <c r="J31" s="96">
        <v>0</v>
      </c>
      <c r="K31" s="93">
        <f>IF(ISBLANK($H31), "", SUMIF('Giao dịch'!$J:$J,$H31,'Giao dịch'!$H:$H))</f>
        <v>0</v>
      </c>
      <c r="L31" s="97">
        <f t="shared" si="3"/>
        <v>0</v>
      </c>
      <c r="M31" s="9"/>
    </row>
    <row r="32" spans="1:13" ht="18" customHeight="1" x14ac:dyDescent="0.25">
      <c r="A32" s="9"/>
      <c r="B32" s="112" t="s">
        <v>30</v>
      </c>
      <c r="C32" s="111"/>
      <c r="D32" s="96">
        <v>0</v>
      </c>
      <c r="E32" s="93">
        <f>IF(ISBLANK($B32), "", SUMIF('Giao dịch'!$E:$E,$B32,'Giao dịch'!$C:$C))</f>
        <v>0</v>
      </c>
      <c r="F32" s="97">
        <f t="shared" si="2"/>
        <v>0</v>
      </c>
      <c r="G32" s="99"/>
      <c r="H32" s="112" t="s">
        <v>31</v>
      </c>
      <c r="I32" s="111"/>
      <c r="J32" s="96">
        <v>0</v>
      </c>
      <c r="K32" s="93">
        <f>IF(ISBLANK($H32), "", SUMIF('Giao dịch'!$J:$J,$H32,'Giao dịch'!$H:$H))</f>
        <v>0</v>
      </c>
      <c r="L32" s="97">
        <f t="shared" si="3"/>
        <v>0</v>
      </c>
      <c r="M32" s="9"/>
    </row>
    <row r="33" spans="1:13" ht="18" customHeight="1" x14ac:dyDescent="0.25">
      <c r="A33" s="9"/>
      <c r="B33" s="112" t="s">
        <v>32</v>
      </c>
      <c r="C33" s="111"/>
      <c r="D33" s="96">
        <v>0</v>
      </c>
      <c r="E33" s="93">
        <f>IF(ISBLANK($B33), "", SUMIF('Giao dịch'!$E:$E,$B33,'Giao dịch'!$C:$C))</f>
        <v>0</v>
      </c>
      <c r="F33" s="97">
        <f t="shared" si="2"/>
        <v>0</v>
      </c>
      <c r="G33" s="99"/>
      <c r="H33" s="112" t="s">
        <v>33</v>
      </c>
      <c r="I33" s="111"/>
      <c r="J33" s="100">
        <v>0</v>
      </c>
      <c r="K33" s="93">
        <f>IF(ISBLANK($H33), "", SUMIF('Giao dịch'!$J:$J,$H33,'Giao dịch'!$H:$H))</f>
        <v>0</v>
      </c>
      <c r="L33" s="97">
        <f t="shared" si="3"/>
        <v>0</v>
      </c>
      <c r="M33" s="9"/>
    </row>
    <row r="34" spans="1:13" ht="18" customHeight="1" x14ac:dyDescent="0.25">
      <c r="A34" s="9"/>
      <c r="B34" s="112" t="s">
        <v>34</v>
      </c>
      <c r="C34" s="111"/>
      <c r="D34" s="96">
        <v>0</v>
      </c>
      <c r="E34" s="93">
        <f>IF(ISBLANK($B34), "", SUMIF('Giao dịch'!$E:$E,$B34,'Giao dịch'!$C:$C))</f>
        <v>0</v>
      </c>
      <c r="F34" s="97">
        <f t="shared" si="2"/>
        <v>0</v>
      </c>
      <c r="G34" s="101"/>
      <c r="H34" s="110"/>
      <c r="I34" s="111"/>
      <c r="J34" s="102"/>
      <c r="K34" s="103" t="str">
        <f>IF(ISBLANK($H34), "", SUMIF('Giao dịch'!$J:$J,$H34,'Giao dịch'!$H:$H))</f>
        <v/>
      </c>
      <c r="L34" s="104" t="str">
        <f t="shared" si="3"/>
        <v/>
      </c>
      <c r="M34" s="9"/>
    </row>
    <row r="35" spans="1:13" ht="18" customHeight="1" x14ac:dyDescent="0.25">
      <c r="A35" s="9"/>
      <c r="B35" s="112" t="s">
        <v>35</v>
      </c>
      <c r="C35" s="111"/>
      <c r="D35" s="96">
        <v>0</v>
      </c>
      <c r="E35" s="93">
        <f>IF(ISBLANK($B35), "", SUMIF('Giao dịch'!$E:$E,$B35,'Giao dịch'!$C:$C))</f>
        <v>0</v>
      </c>
      <c r="F35" s="97">
        <f t="shared" si="2"/>
        <v>0</v>
      </c>
      <c r="G35" s="99"/>
      <c r="H35" s="110"/>
      <c r="I35" s="111"/>
      <c r="J35" s="102"/>
      <c r="K35" s="103" t="str">
        <f>IF(ISBLANK($H35), "", SUMIF('Giao dịch'!$J:$J,$H35,'Giao dịch'!$H:$H))</f>
        <v/>
      </c>
      <c r="L35" s="104" t="str">
        <f t="shared" si="3"/>
        <v/>
      </c>
      <c r="M35" s="9"/>
    </row>
    <row r="36" spans="1:13" ht="18" customHeight="1" x14ac:dyDescent="0.25">
      <c r="A36" s="9"/>
      <c r="B36" s="112" t="s">
        <v>36</v>
      </c>
      <c r="C36" s="111"/>
      <c r="D36" s="96">
        <v>0</v>
      </c>
      <c r="E36" s="93">
        <f>IF(ISBLANK($B36), "", SUMIF('Giao dịch'!$E:$E,$B36,'Giao dịch'!$C:$C))</f>
        <v>300000</v>
      </c>
      <c r="F36" s="97">
        <f t="shared" si="2"/>
        <v>-300000</v>
      </c>
      <c r="G36" s="99"/>
      <c r="H36" s="110"/>
      <c r="I36" s="111"/>
      <c r="J36" s="102"/>
      <c r="K36" s="103" t="str">
        <f>IF(ISBLANK($H36), "", SUMIF('Giao dịch'!$J:$J,$H36,'Giao dịch'!$H:$H))</f>
        <v/>
      </c>
      <c r="L36" s="104" t="str">
        <f t="shared" si="3"/>
        <v/>
      </c>
      <c r="M36" s="9"/>
    </row>
    <row r="37" spans="1:13" ht="18" customHeight="1" x14ac:dyDescent="0.25">
      <c r="A37" s="9"/>
      <c r="B37" s="112" t="s">
        <v>37</v>
      </c>
      <c r="C37" s="111"/>
      <c r="D37" s="96">
        <v>0</v>
      </c>
      <c r="E37" s="93">
        <f>IF(ISBLANK($B37), "", SUMIF('Giao dịch'!$E:$E,$B37,'Giao dịch'!$C:$C))</f>
        <v>0</v>
      </c>
      <c r="F37" s="97">
        <f t="shared" si="2"/>
        <v>0</v>
      </c>
      <c r="G37" s="99"/>
      <c r="H37" s="110"/>
      <c r="I37" s="111"/>
      <c r="J37" s="102"/>
      <c r="K37" s="103" t="str">
        <f>IF(ISBLANK($H37), "", SUMIF('Giao dịch'!$J:$J,$H37,'Giao dịch'!$H:$H))</f>
        <v/>
      </c>
      <c r="L37" s="104" t="str">
        <f t="shared" si="3"/>
        <v/>
      </c>
      <c r="M37" s="9"/>
    </row>
    <row r="38" spans="1:13" ht="18" customHeight="1" x14ac:dyDescent="0.25">
      <c r="A38" s="9"/>
      <c r="B38" s="112" t="s">
        <v>31</v>
      </c>
      <c r="C38" s="111"/>
      <c r="D38" s="96">
        <v>0</v>
      </c>
      <c r="E38" s="93">
        <f>IF(ISBLANK($B38), "", SUMIF('Giao dịch'!$E:$E,$B38,'Giao dịch'!$C:$C))</f>
        <v>0</v>
      </c>
      <c r="F38" s="97">
        <f t="shared" si="2"/>
        <v>0</v>
      </c>
      <c r="G38" s="99"/>
      <c r="H38" s="110"/>
      <c r="I38" s="111"/>
      <c r="J38" s="102"/>
      <c r="K38" s="103" t="str">
        <f>IF(ISBLANK($H38), "", SUMIF('Giao dịch'!$J:$J,$H38,'Giao dịch'!$H:$H))</f>
        <v/>
      </c>
      <c r="L38" s="104" t="str">
        <f t="shared" si="3"/>
        <v/>
      </c>
      <c r="M38" s="9"/>
    </row>
    <row r="39" spans="1:13" ht="18" customHeight="1" x14ac:dyDescent="0.25">
      <c r="A39" s="9"/>
      <c r="B39" s="112" t="s">
        <v>38</v>
      </c>
      <c r="C39" s="111"/>
      <c r="D39" s="96">
        <v>0</v>
      </c>
      <c r="E39" s="93">
        <f>IF(ISBLANK($B39), "", SUMIF('Giao dịch'!$E:$E,$B39,'Giao dịch'!$C:$C))</f>
        <v>0</v>
      </c>
      <c r="F39" s="97">
        <f t="shared" si="2"/>
        <v>0</v>
      </c>
      <c r="G39" s="99"/>
      <c r="H39" s="110"/>
      <c r="I39" s="111"/>
      <c r="J39" s="102"/>
      <c r="K39" s="103" t="str">
        <f>IF(ISBLANK($H39), "", SUMIF('Giao dịch'!$J:$J,$H39,'Giao dịch'!$H:$H))</f>
        <v/>
      </c>
      <c r="L39" s="104" t="str">
        <f t="shared" si="3"/>
        <v/>
      </c>
      <c r="M39" s="9"/>
    </row>
    <row r="40" spans="1:13" ht="18" customHeight="1" x14ac:dyDescent="0.25">
      <c r="A40" s="9"/>
      <c r="B40" s="112" t="s">
        <v>39</v>
      </c>
      <c r="C40" s="111"/>
      <c r="D40" s="105">
        <v>0</v>
      </c>
      <c r="E40" s="93">
        <f>IF(ISBLANK($B40), "", SUMIF('Giao dịch'!$E:$E,$B40,'Giao dịch'!$C:$C))</f>
        <v>0</v>
      </c>
      <c r="F40" s="97">
        <f t="shared" si="2"/>
        <v>0</v>
      </c>
      <c r="G40" s="99"/>
      <c r="H40" s="110"/>
      <c r="I40" s="111"/>
      <c r="J40" s="102"/>
      <c r="K40" s="103" t="str">
        <f>IF(ISBLANK($H40), "", SUMIF('Giao dịch'!$J:$J,$H40,'Giao dịch'!$H:$H))</f>
        <v/>
      </c>
      <c r="L40" s="104" t="str">
        <f t="shared" si="3"/>
        <v/>
      </c>
      <c r="M40" s="9"/>
    </row>
    <row r="41" spans="1:13" ht="18" customHeight="1" x14ac:dyDescent="0.25">
      <c r="A41" s="9"/>
      <c r="B41" s="112" t="s">
        <v>40</v>
      </c>
      <c r="C41" s="111"/>
      <c r="D41" s="105">
        <v>0</v>
      </c>
      <c r="E41" s="93">
        <f>IF(ISBLANK($B41), "", SUMIF('Giao dịch'!$E:$E,$B41,'Giao dịch'!$C:$C))</f>
        <v>0</v>
      </c>
      <c r="F41" s="97">
        <f t="shared" si="2"/>
        <v>0</v>
      </c>
      <c r="G41" s="99"/>
      <c r="H41" s="110"/>
      <c r="I41" s="111"/>
      <c r="J41" s="102"/>
      <c r="K41" s="103" t="str">
        <f>IF(ISBLANK($H41), "", SUMIF('Giao dịch'!$J:$J,$H41,'Giao dịch'!$H:$H))</f>
        <v/>
      </c>
      <c r="L41" s="104" t="str">
        <f t="shared" si="3"/>
        <v/>
      </c>
      <c r="M41" s="9"/>
    </row>
    <row r="42" spans="1:13" ht="18" customHeight="1" x14ac:dyDescent="0.25">
      <c r="A42" s="9"/>
      <c r="B42" s="106"/>
      <c r="C42" s="106"/>
      <c r="D42" s="107"/>
      <c r="E42" s="103"/>
      <c r="F42" s="104"/>
      <c r="G42" s="99"/>
      <c r="H42" s="108"/>
      <c r="I42" s="108"/>
      <c r="J42" s="102"/>
      <c r="K42" s="103"/>
      <c r="L42" s="104"/>
      <c r="M42" s="9"/>
    </row>
    <row r="43" spans="1:13" ht="18" customHeight="1" x14ac:dyDescent="0.25">
      <c r="A43" s="9"/>
      <c r="B43" s="106"/>
      <c r="C43" s="106"/>
      <c r="D43" s="107"/>
      <c r="E43" s="103"/>
      <c r="F43" s="104"/>
      <c r="G43" s="99"/>
      <c r="H43" s="108"/>
      <c r="I43" s="108"/>
      <c r="J43" s="102"/>
      <c r="K43" s="103"/>
      <c r="L43" s="104"/>
      <c r="M43" s="9"/>
    </row>
    <row r="44" spans="1:13" ht="18" customHeight="1" x14ac:dyDescent="0.25">
      <c r="A44" s="9"/>
      <c r="B44" s="112"/>
      <c r="C44" s="111"/>
      <c r="D44" s="109"/>
      <c r="E44" s="103" t="str">
        <f>IF(ISBLANK($B44), "", SUMIF('Giao dịch'!$E:$E,$B44,'Giao dịch'!$C:$C))</f>
        <v/>
      </c>
      <c r="F44" s="104" t="str">
        <f>IF(ISBLANK($B44), "", D44-E44)</f>
        <v/>
      </c>
      <c r="G44" s="99"/>
      <c r="H44" s="110"/>
      <c r="I44" s="111"/>
      <c r="J44" s="102"/>
      <c r="K44" s="103" t="str">
        <f>IF(ISBLANK($H44), "", SUMIF('Giao dịch'!$J:$J,$H44,'Giao dịch'!$H:$H))</f>
        <v/>
      </c>
      <c r="L44" s="104" t="str">
        <f>IF(ISBLANK($H44), "", K44-J44)</f>
        <v/>
      </c>
      <c r="M44" s="9"/>
    </row>
  </sheetData>
  <mergeCells count="54">
    <mergeCell ref="B2:H2"/>
    <mergeCell ref="I2:L2"/>
    <mergeCell ref="B3:G4"/>
    <mergeCell ref="I3:L3"/>
    <mergeCell ref="I4:M5"/>
    <mergeCell ref="B5:G6"/>
    <mergeCell ref="J8:K8"/>
    <mergeCell ref="I13:K13"/>
    <mergeCell ref="I14:K14"/>
    <mergeCell ref="I15:K15"/>
    <mergeCell ref="B8:E9"/>
    <mergeCell ref="F8:F9"/>
    <mergeCell ref="I16:K16"/>
    <mergeCell ref="I17:K17"/>
    <mergeCell ref="B20:F20"/>
    <mergeCell ref="D21:F21"/>
    <mergeCell ref="J21:L21"/>
    <mergeCell ref="D22:F22"/>
    <mergeCell ref="J22:L22"/>
    <mergeCell ref="J23:L23"/>
    <mergeCell ref="D23:F23"/>
    <mergeCell ref="B24:C24"/>
    <mergeCell ref="B27:C27"/>
    <mergeCell ref="H27:I27"/>
    <mergeCell ref="B28:C28"/>
    <mergeCell ref="H28:I28"/>
    <mergeCell ref="H29:I29"/>
    <mergeCell ref="B41:C41"/>
    <mergeCell ref="B44:C44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H44:I44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</mergeCells>
  <conditionalFormatting sqref="B27:C44 H27:H44">
    <cfRule type="notContainsBlanks" dxfId="9" priority="6">
      <formula>LEN(TRIM(B27))&gt;0</formula>
    </cfRule>
  </conditionalFormatting>
  <conditionalFormatting sqref="D27:D44">
    <cfRule type="expression" dxfId="8" priority="7">
      <formula>NOT(ISBLANK(B27))</formula>
    </cfRule>
  </conditionalFormatting>
  <conditionalFormatting sqref="F26:F44 L26:L44">
    <cfRule type="cellIs" dxfId="7" priority="9" operator="lessThan">
      <formula>0</formula>
    </cfRule>
  </conditionalFormatting>
  <conditionalFormatting sqref="F27:F44 L27:L44">
    <cfRule type="cellIs" dxfId="6" priority="10" operator="equal">
      <formula>0</formula>
    </cfRule>
  </conditionalFormatting>
  <conditionalFormatting sqref="J27:J44">
    <cfRule type="expression" dxfId="5" priority="8">
      <formula>NOT(ISBLANK(H27))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3"/>
  <sheetViews>
    <sheetView showGridLines="0" workbookViewId="0">
      <pane ySplit="4" topLeftCell="A5" activePane="bottomLeft" state="frozen"/>
      <selection pane="bottomLeft" activeCell="H6" sqref="H6"/>
    </sheetView>
  </sheetViews>
  <sheetFormatPr defaultColWidth="12.6640625" defaultRowHeight="15.75" customHeight="1" x14ac:dyDescent="0.25"/>
  <cols>
    <col min="1" max="1" width="5.109375" customWidth="1"/>
    <col min="2" max="2" width="12.6640625" customWidth="1"/>
    <col min="3" max="3" width="13.88671875" customWidth="1"/>
    <col min="4" max="4" width="32.77734375" customWidth="1"/>
    <col min="5" max="5" width="19.88671875" customWidth="1"/>
    <col min="6" max="6" width="5.109375" customWidth="1"/>
    <col min="8" max="8" width="13.88671875" customWidth="1"/>
    <col min="9" max="9" width="32.77734375" customWidth="1"/>
    <col min="10" max="10" width="19.88671875" customWidth="1"/>
    <col min="11" max="11" width="5.109375" customWidth="1"/>
  </cols>
  <sheetData>
    <row r="1" spans="1:11" ht="33" customHeight="1" x14ac:dyDescent="0.25">
      <c r="A1" s="1"/>
      <c r="B1" s="133" t="s">
        <v>0</v>
      </c>
      <c r="C1" s="117"/>
      <c r="D1" s="117"/>
      <c r="E1" s="117"/>
      <c r="F1" s="117"/>
      <c r="G1" s="117"/>
      <c r="H1" s="117"/>
      <c r="I1" s="117"/>
      <c r="J1" s="117"/>
      <c r="K1" s="1"/>
    </row>
    <row r="2" spans="1:11" ht="48" customHeight="1" x14ac:dyDescent="0.45">
      <c r="A2" s="4"/>
      <c r="B2" s="5" t="s">
        <v>1</v>
      </c>
      <c r="C2" s="4"/>
      <c r="D2" s="4"/>
      <c r="E2" s="4"/>
      <c r="F2" s="4"/>
      <c r="G2" s="5" t="s">
        <v>2</v>
      </c>
      <c r="H2" s="4"/>
      <c r="I2" s="4"/>
      <c r="J2" s="4"/>
      <c r="K2" s="4"/>
    </row>
    <row r="3" spans="1:11" ht="12" customHeight="1" x14ac:dyDescent="0.25">
      <c r="A3" s="7"/>
      <c r="B3" s="8"/>
      <c r="C3" s="8"/>
      <c r="D3" s="8"/>
      <c r="E3" s="8"/>
      <c r="F3" s="7"/>
      <c r="G3" s="8"/>
      <c r="H3" s="8"/>
      <c r="I3" s="8"/>
      <c r="J3" s="8"/>
      <c r="K3" s="7"/>
    </row>
    <row r="4" spans="1:11" ht="24" customHeight="1" x14ac:dyDescent="0.25">
      <c r="A4" s="9"/>
      <c r="B4" s="10" t="s">
        <v>5</v>
      </c>
      <c r="C4" s="142" t="s">
        <v>6</v>
      </c>
      <c r="D4" s="10" t="s">
        <v>7</v>
      </c>
      <c r="E4" s="10" t="s">
        <v>8</v>
      </c>
      <c r="F4" s="9"/>
      <c r="G4" s="10" t="s">
        <v>5</v>
      </c>
      <c r="H4" s="142" t="s">
        <v>6</v>
      </c>
      <c r="I4" s="10" t="s">
        <v>7</v>
      </c>
      <c r="J4" s="10" t="s">
        <v>8</v>
      </c>
      <c r="K4" s="9"/>
    </row>
    <row r="5" spans="1:11" ht="19.5" customHeight="1" x14ac:dyDescent="0.25">
      <c r="A5" s="9"/>
      <c r="B5" s="13">
        <v>46244</v>
      </c>
      <c r="C5" s="143">
        <v>1700000</v>
      </c>
      <c r="D5" s="15" t="s">
        <v>11</v>
      </c>
      <c r="E5" s="21" t="s">
        <v>14</v>
      </c>
      <c r="F5" s="9"/>
      <c r="G5" s="13">
        <v>46244</v>
      </c>
      <c r="H5" s="143">
        <v>26000000</v>
      </c>
      <c r="I5" s="24" t="s">
        <v>15</v>
      </c>
      <c r="J5" s="21" t="s">
        <v>15</v>
      </c>
      <c r="K5" s="9"/>
    </row>
    <row r="6" spans="1:11" ht="19.5" customHeight="1" x14ac:dyDescent="0.25">
      <c r="A6" s="9"/>
      <c r="B6" s="28">
        <v>46244</v>
      </c>
      <c r="C6" s="144">
        <v>500000</v>
      </c>
      <c r="D6" s="30"/>
      <c r="E6" s="32" t="s">
        <v>27</v>
      </c>
      <c r="F6" s="9"/>
      <c r="G6" s="28"/>
      <c r="H6" s="144"/>
      <c r="I6" s="34"/>
      <c r="J6" s="32"/>
      <c r="K6" s="9"/>
    </row>
    <row r="7" spans="1:11" ht="19.5" customHeight="1" x14ac:dyDescent="0.25">
      <c r="A7" s="9"/>
      <c r="B7" s="28"/>
      <c r="C7" s="144">
        <v>300000</v>
      </c>
      <c r="D7" s="30"/>
      <c r="E7" s="32" t="s">
        <v>36</v>
      </c>
      <c r="F7" s="9"/>
      <c r="G7" s="28"/>
      <c r="H7" s="144"/>
      <c r="I7" s="34"/>
      <c r="J7" s="32"/>
      <c r="K7" s="9"/>
    </row>
    <row r="8" spans="1:11" ht="19.5" customHeight="1" x14ac:dyDescent="0.25">
      <c r="A8" s="9"/>
      <c r="B8" s="28"/>
      <c r="C8" s="144">
        <v>1500000</v>
      </c>
      <c r="D8" s="30"/>
      <c r="E8" s="32" t="s">
        <v>24</v>
      </c>
      <c r="F8" s="9"/>
      <c r="G8" s="28"/>
      <c r="H8" s="144"/>
      <c r="I8" s="34"/>
      <c r="J8" s="32"/>
      <c r="K8" s="9"/>
    </row>
    <row r="9" spans="1:11" ht="19.5" customHeight="1" x14ac:dyDescent="0.25">
      <c r="A9" s="9"/>
      <c r="B9" s="28"/>
      <c r="C9" s="144"/>
      <c r="D9" s="30"/>
      <c r="E9" s="32"/>
      <c r="F9" s="9"/>
      <c r="G9" s="28"/>
      <c r="H9" s="144"/>
      <c r="I9" s="34"/>
      <c r="J9" s="32"/>
      <c r="K9" s="9"/>
    </row>
    <row r="10" spans="1:11" ht="19.5" customHeight="1" x14ac:dyDescent="0.25">
      <c r="A10" s="9"/>
      <c r="B10" s="28"/>
      <c r="C10" s="144"/>
      <c r="D10" s="30"/>
      <c r="E10" s="32"/>
      <c r="F10" s="9"/>
      <c r="G10" s="28"/>
      <c r="H10" s="144"/>
      <c r="I10" s="34"/>
      <c r="J10" s="32"/>
      <c r="K10" s="9"/>
    </row>
    <row r="11" spans="1:11" ht="19.5" customHeight="1" x14ac:dyDescent="0.25">
      <c r="A11" s="9"/>
      <c r="B11" s="28"/>
      <c r="C11" s="144"/>
      <c r="D11" s="30"/>
      <c r="E11" s="32"/>
      <c r="F11" s="9"/>
      <c r="G11" s="28"/>
      <c r="H11" s="144"/>
      <c r="I11" s="34"/>
      <c r="J11" s="32"/>
      <c r="K11" s="9"/>
    </row>
    <row r="12" spans="1:11" ht="19.5" customHeight="1" x14ac:dyDescent="0.25">
      <c r="A12" s="9"/>
      <c r="B12" s="28"/>
      <c r="C12" s="144"/>
      <c r="D12" s="30"/>
      <c r="E12" s="32"/>
      <c r="F12" s="9"/>
      <c r="G12" s="28"/>
      <c r="H12" s="144"/>
      <c r="I12" s="34"/>
      <c r="J12" s="32"/>
      <c r="K12" s="9"/>
    </row>
    <row r="13" spans="1:11" ht="19.5" customHeight="1" x14ac:dyDescent="0.25">
      <c r="A13" s="9"/>
      <c r="B13" s="28"/>
      <c r="C13" s="144"/>
      <c r="D13" s="30"/>
      <c r="E13" s="32"/>
      <c r="F13" s="9"/>
      <c r="G13" s="28"/>
      <c r="H13" s="144"/>
      <c r="I13" s="34"/>
      <c r="J13" s="32"/>
      <c r="K13" s="9"/>
    </row>
    <row r="14" spans="1:11" ht="19.5" customHeight="1" x14ac:dyDescent="0.25">
      <c r="A14" s="9"/>
      <c r="B14" s="28"/>
      <c r="C14" s="144"/>
      <c r="D14" s="30"/>
      <c r="E14" s="32"/>
      <c r="F14" s="9"/>
      <c r="G14" s="28"/>
      <c r="H14" s="144"/>
      <c r="I14" s="34"/>
      <c r="J14" s="32"/>
      <c r="K14" s="9"/>
    </row>
    <row r="15" spans="1:11" ht="19.5" customHeight="1" x14ac:dyDescent="0.25">
      <c r="A15" s="9"/>
      <c r="B15" s="28"/>
      <c r="C15" s="144"/>
      <c r="D15" s="30"/>
      <c r="E15" s="32"/>
      <c r="F15" s="9"/>
      <c r="G15" s="28"/>
      <c r="H15" s="144"/>
      <c r="I15" s="34"/>
      <c r="J15" s="32"/>
      <c r="K15" s="9"/>
    </row>
    <row r="16" spans="1:11" ht="19.5" customHeight="1" x14ac:dyDescent="0.25">
      <c r="A16" s="9"/>
      <c r="B16" s="28"/>
      <c r="C16" s="144"/>
      <c r="D16" s="30"/>
      <c r="E16" s="32"/>
      <c r="F16" s="9"/>
      <c r="G16" s="28"/>
      <c r="H16" s="144"/>
      <c r="I16" s="34"/>
      <c r="J16" s="32"/>
      <c r="K16" s="9"/>
    </row>
    <row r="17" spans="1:11" ht="19.5" customHeight="1" x14ac:dyDescent="0.25">
      <c r="A17" s="9"/>
      <c r="B17" s="28"/>
      <c r="C17" s="144"/>
      <c r="D17" s="30"/>
      <c r="E17" s="32"/>
      <c r="F17" s="9"/>
      <c r="G17" s="28"/>
      <c r="H17" s="144"/>
      <c r="I17" s="34"/>
      <c r="J17" s="32"/>
      <c r="K17" s="9"/>
    </row>
    <row r="18" spans="1:11" ht="19.5" customHeight="1" x14ac:dyDescent="0.25">
      <c r="A18" s="9"/>
      <c r="B18" s="28"/>
      <c r="C18" s="144"/>
      <c r="D18" s="30"/>
      <c r="E18" s="32"/>
      <c r="F18" s="9"/>
      <c r="G18" s="28"/>
      <c r="H18" s="144"/>
      <c r="I18" s="34"/>
      <c r="J18" s="32"/>
      <c r="K18" s="9"/>
    </row>
    <row r="19" spans="1:11" ht="19.5" customHeight="1" x14ac:dyDescent="0.25">
      <c r="A19" s="9"/>
      <c r="B19" s="28"/>
      <c r="C19" s="144"/>
      <c r="D19" s="30"/>
      <c r="E19" s="32"/>
      <c r="F19" s="9"/>
      <c r="G19" s="28"/>
      <c r="H19" s="144"/>
      <c r="I19" s="34"/>
      <c r="J19" s="32"/>
      <c r="K19" s="9"/>
    </row>
    <row r="20" spans="1:11" ht="19.5" customHeight="1" x14ac:dyDescent="0.25">
      <c r="A20" s="9"/>
      <c r="B20" s="28"/>
      <c r="C20" s="144"/>
      <c r="D20" s="30"/>
      <c r="E20" s="32"/>
      <c r="F20" s="9"/>
      <c r="G20" s="28"/>
      <c r="H20" s="144"/>
      <c r="I20" s="34"/>
      <c r="J20" s="32"/>
      <c r="K20" s="9"/>
    </row>
    <row r="21" spans="1:11" ht="19.5" customHeight="1" x14ac:dyDescent="0.25">
      <c r="A21" s="9"/>
      <c r="B21" s="28"/>
      <c r="C21" s="144"/>
      <c r="D21" s="30"/>
      <c r="E21" s="32"/>
      <c r="F21" s="9"/>
      <c r="G21" s="28"/>
      <c r="H21" s="144"/>
      <c r="I21" s="34"/>
      <c r="J21" s="32"/>
      <c r="K21" s="9"/>
    </row>
    <row r="22" spans="1:11" ht="19.5" customHeight="1" x14ac:dyDescent="0.25">
      <c r="A22" s="9"/>
      <c r="B22" s="28"/>
      <c r="C22" s="144"/>
      <c r="D22" s="30"/>
      <c r="E22" s="32"/>
      <c r="F22" s="9"/>
      <c r="G22" s="28"/>
      <c r="H22" s="144"/>
      <c r="I22" s="34"/>
      <c r="J22" s="32"/>
      <c r="K22" s="9"/>
    </row>
    <row r="23" spans="1:11" ht="19.5" customHeight="1" x14ac:dyDescent="0.25">
      <c r="A23" s="9"/>
      <c r="B23" s="28"/>
      <c r="C23" s="144"/>
      <c r="D23" s="30"/>
      <c r="E23" s="32"/>
      <c r="F23" s="9"/>
      <c r="G23" s="28"/>
      <c r="H23" s="144"/>
      <c r="I23" s="34"/>
      <c r="J23" s="32"/>
      <c r="K23" s="9"/>
    </row>
    <row r="24" spans="1:11" ht="19.5" customHeight="1" x14ac:dyDescent="0.25">
      <c r="A24" s="9"/>
      <c r="B24" s="28"/>
      <c r="C24" s="144"/>
      <c r="D24" s="30"/>
      <c r="E24" s="32"/>
      <c r="F24" s="9"/>
      <c r="G24" s="28"/>
      <c r="H24" s="144"/>
      <c r="I24" s="34"/>
      <c r="J24" s="32"/>
      <c r="K24" s="9"/>
    </row>
    <row r="25" spans="1:11" ht="19.5" customHeight="1" x14ac:dyDescent="0.25">
      <c r="A25" s="9"/>
      <c r="B25" s="28"/>
      <c r="C25" s="144"/>
      <c r="D25" s="30"/>
      <c r="E25" s="32"/>
      <c r="F25" s="9"/>
      <c r="G25" s="28"/>
      <c r="H25" s="144"/>
      <c r="I25" s="34"/>
      <c r="J25" s="32"/>
      <c r="K25" s="9"/>
    </row>
    <row r="26" spans="1:11" ht="19.5" customHeight="1" x14ac:dyDescent="0.25">
      <c r="A26" s="9"/>
      <c r="B26" s="28"/>
      <c r="C26" s="144"/>
      <c r="D26" s="30"/>
      <c r="E26" s="32"/>
      <c r="F26" s="9"/>
      <c r="G26" s="28"/>
      <c r="H26" s="144"/>
      <c r="I26" s="34"/>
      <c r="J26" s="32"/>
      <c r="K26" s="9"/>
    </row>
    <row r="27" spans="1:11" ht="19.5" customHeight="1" x14ac:dyDescent="0.25">
      <c r="A27" s="9"/>
      <c r="B27" s="28"/>
      <c r="C27" s="144"/>
      <c r="D27" s="30"/>
      <c r="E27" s="32"/>
      <c r="F27" s="9"/>
      <c r="G27" s="28"/>
      <c r="H27" s="144"/>
      <c r="I27" s="34"/>
      <c r="J27" s="32"/>
      <c r="K27" s="9"/>
    </row>
    <row r="28" spans="1:11" ht="19.5" customHeight="1" x14ac:dyDescent="0.25">
      <c r="A28" s="9"/>
      <c r="B28" s="28"/>
      <c r="C28" s="144"/>
      <c r="D28" s="30"/>
      <c r="E28" s="32"/>
      <c r="F28" s="9"/>
      <c r="G28" s="28"/>
      <c r="H28" s="144"/>
      <c r="I28" s="34"/>
      <c r="J28" s="32"/>
      <c r="K28" s="9"/>
    </row>
    <row r="29" spans="1:11" ht="19.5" customHeight="1" x14ac:dyDescent="0.25">
      <c r="A29" s="9"/>
      <c r="B29" s="28"/>
      <c r="C29" s="144"/>
      <c r="D29" s="30"/>
      <c r="E29" s="32"/>
      <c r="F29" s="9"/>
      <c r="G29" s="28"/>
      <c r="H29" s="144"/>
      <c r="I29" s="34"/>
      <c r="J29" s="32"/>
      <c r="K29" s="9"/>
    </row>
    <row r="30" spans="1:11" ht="19.5" customHeight="1" x14ac:dyDescent="0.25">
      <c r="A30" s="9"/>
      <c r="B30" s="28"/>
      <c r="C30" s="144"/>
      <c r="D30" s="30"/>
      <c r="E30" s="32"/>
      <c r="F30" s="9"/>
      <c r="G30" s="28"/>
      <c r="H30" s="144"/>
      <c r="I30" s="34"/>
      <c r="J30" s="32"/>
      <c r="K30" s="9"/>
    </row>
    <row r="31" spans="1:11" ht="19.5" customHeight="1" x14ac:dyDescent="0.25">
      <c r="A31" s="9"/>
      <c r="B31" s="28"/>
      <c r="C31" s="144"/>
      <c r="D31" s="30"/>
      <c r="E31" s="32"/>
      <c r="F31" s="9"/>
      <c r="G31" s="28"/>
      <c r="H31" s="144"/>
      <c r="I31" s="34"/>
      <c r="J31" s="32"/>
      <c r="K31" s="9"/>
    </row>
    <row r="32" spans="1:11" ht="19.5" customHeight="1" x14ac:dyDescent="0.25">
      <c r="A32" s="9"/>
      <c r="B32" s="28"/>
      <c r="C32" s="144"/>
      <c r="D32" s="30"/>
      <c r="E32" s="32"/>
      <c r="F32" s="9"/>
      <c r="G32" s="28"/>
      <c r="H32" s="144"/>
      <c r="I32" s="34"/>
      <c r="J32" s="32"/>
      <c r="K32" s="9"/>
    </row>
    <row r="33" spans="1:11" ht="19.5" customHeight="1" x14ac:dyDescent="0.25">
      <c r="A33" s="9"/>
      <c r="B33" s="46"/>
      <c r="C33" s="47"/>
      <c r="D33" s="48"/>
      <c r="E33" s="50"/>
      <c r="F33" s="9"/>
      <c r="G33" s="46"/>
      <c r="H33" s="47"/>
      <c r="I33" s="54"/>
      <c r="J33" s="50"/>
      <c r="K33" s="9"/>
    </row>
  </sheetData>
  <mergeCells count="1">
    <mergeCell ref="B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'Tóm tắt'!$B$27:$C$44</xm:f>
          </x14:formula1>
          <xm:sqref>E5:E33</xm:sqref>
        </x14:dataValidation>
        <x14:dataValidation type="list" allowBlank="1" xr:uid="{00000000-0002-0000-0100-000001000000}">
          <x14:formula1>
            <xm:f>'Tóm tắt'!$H$27:$I$44</xm:f>
          </x14:formula1>
          <xm:sqref>J5:J33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a55c7dc3-d019-40fa-a91f-518114ee30cb}" enabled="1" method="Standard" siteId="{a0863201-77ea-4254-a23b-acb1c17a3a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Tóm tắt</vt:lpstr>
      <vt:lpstr>Giao dịch</vt:lpstr>
      <vt:lpstr>StartingBalance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THE QUANG 공장혁신팀</cp:lastModifiedBy>
  <dcterms:modified xsi:type="dcterms:W3CDTF">2026-08-10T04:25:58Z</dcterms:modified>
</cp:coreProperties>
</file>