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2.xml" ContentType="application/vnd.openxmlformats-officedocument.drawing+xml"/>
  <Override PartName="/xl/tables/table1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Z:\10. Innovation Team\7. NGUYEN THE QUANG\7. Repo\Form\Dash board\"/>
    </mc:Choice>
  </mc:AlternateContent>
  <xr:revisionPtr revIDLastSave="0" documentId="13_ncr:1_{4CDBD9CE-EC2B-43AB-8FFA-1499909D78AD}" xr6:coauthVersionLast="47" xr6:coauthVersionMax="47" xr10:uidLastSave="{00000000-0000-0000-0000-000000000000}"/>
  <bookViews>
    <workbookView xWindow="-28920" yWindow="-6900" windowWidth="29040" windowHeight="15720" xr2:uid="{2229C0D3-D106-451F-8744-29B329837F28}"/>
  </bookViews>
  <sheets>
    <sheet name="Dashboard" sheetId="9" r:id="rId1"/>
    <sheet name="Công thức" sheetId="4" r:id="rId2"/>
    <sheet name="Chi tiêu" sheetId="1" r:id="rId3"/>
    <sheet name="Thu nhập" sheetId="8" r:id="rId4"/>
    <sheet name="Định mức" sheetId="3" r:id="rId5"/>
    <sheet name="Color" sheetId="10" r:id="rId6"/>
    <sheet name="Hàm sử dụng" sheetId="12" r:id="rId7"/>
  </sheets>
  <definedNames>
    <definedName name="Slicer_Months__NGÀY_CHI">#N/A</definedName>
  </definedNames>
  <calcPr calcId="191029"/>
  <pivotCaches>
    <pivotCache cacheId="17"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4" l="1"/>
  <c r="A3" i="4" s="1"/>
  <c r="W1" i="4"/>
  <c r="AG4" i="4" l="1"/>
  <c r="AH4" i="4" s="1"/>
  <c r="AG5" i="4"/>
  <c r="AH5" i="4" s="1"/>
  <c r="AG6" i="4"/>
  <c r="AH6" i="4" s="1"/>
  <c r="AG7" i="4"/>
  <c r="AG8" i="4"/>
  <c r="AH8" i="4" s="1"/>
  <c r="AG9" i="4"/>
  <c r="AH9" i="4" s="1"/>
  <c r="AG10" i="4"/>
  <c r="AH10" i="4" s="1"/>
  <c r="AG11" i="4"/>
  <c r="AH11" i="4" s="1"/>
  <c r="AG12" i="4"/>
  <c r="AH12" i="4" s="1"/>
  <c r="AG13" i="4"/>
  <c r="AH13" i="4" s="1"/>
  <c r="AG14" i="4"/>
  <c r="AH14" i="4" s="1"/>
  <c r="AG15" i="4"/>
  <c r="AH15" i="4" s="1"/>
  <c r="AG16" i="4"/>
  <c r="AH16" i="4" s="1"/>
  <c r="AG17" i="4"/>
  <c r="AH17" i="4" s="1"/>
  <c r="AG18" i="4"/>
  <c r="AH18" i="4" s="1"/>
  <c r="AG19" i="4"/>
  <c r="AH19" i="4" s="1"/>
  <c r="AG20" i="4"/>
  <c r="AH20" i="4" s="1"/>
  <c r="AG21" i="4"/>
  <c r="AH21" i="4" s="1"/>
  <c r="AG22" i="4"/>
  <c r="AH22" i="4" s="1"/>
  <c r="AG23" i="4"/>
  <c r="AH23" i="4" s="1"/>
  <c r="AG24" i="4"/>
  <c r="AH24" i="4" s="1"/>
  <c r="AG25" i="4"/>
  <c r="AH25" i="4" s="1"/>
  <c r="AG26" i="4"/>
  <c r="AH26" i="4" s="1"/>
  <c r="AG27" i="4"/>
  <c r="AH27" i="4" s="1"/>
  <c r="AG28" i="4"/>
  <c r="AH28" i="4" s="1"/>
  <c r="AG29" i="4"/>
  <c r="AH29" i="4" s="1"/>
  <c r="AG30" i="4"/>
  <c r="AH30" i="4" s="1"/>
  <c r="AG31" i="4"/>
  <c r="AH31" i="4" s="1"/>
  <c r="AG32" i="4"/>
  <c r="AH32" i="4" s="1"/>
  <c r="AG33" i="4"/>
  <c r="AH33" i="4" s="1"/>
  <c r="AG34" i="4"/>
  <c r="AH34" i="4" s="1"/>
  <c r="AG35" i="4"/>
  <c r="AH35" i="4" s="1"/>
  <c r="AG36" i="4"/>
  <c r="AH36" i="4" s="1"/>
  <c r="AG37" i="4"/>
  <c r="AH37" i="4" s="1"/>
  <c r="AG38" i="4"/>
  <c r="AH38" i="4" s="1"/>
  <c r="AG39" i="4"/>
  <c r="AH39" i="4" s="1"/>
  <c r="AG40" i="4"/>
  <c r="AH40" i="4" s="1"/>
  <c r="AG41" i="4"/>
  <c r="AH41" i="4" s="1"/>
  <c r="AG42" i="4"/>
  <c r="AH42" i="4" s="1"/>
  <c r="AG43" i="4"/>
  <c r="AH43" i="4" s="1"/>
  <c r="AG44" i="4"/>
  <c r="AH44" i="4" s="1"/>
  <c r="AG45" i="4"/>
  <c r="AH45" i="4" s="1"/>
  <c r="AG46" i="4"/>
  <c r="AH46" i="4" s="1"/>
  <c r="AG47" i="4"/>
  <c r="AG48" i="4"/>
  <c r="AH48" i="4" s="1"/>
  <c r="AG49" i="4"/>
  <c r="AH49" i="4" s="1"/>
  <c r="AG50" i="4"/>
  <c r="AH50" i="4" s="1"/>
  <c r="AG51" i="4"/>
  <c r="AH51" i="4" s="1"/>
  <c r="AG52" i="4"/>
  <c r="AH52" i="4" s="1"/>
  <c r="AG53" i="4"/>
  <c r="AH53" i="4" s="1"/>
  <c r="AG54" i="4"/>
  <c r="AH54" i="4" s="1"/>
  <c r="AG55" i="4"/>
  <c r="AH55" i="4" s="1"/>
  <c r="AG56" i="4"/>
  <c r="AH56" i="4" s="1"/>
  <c r="AG57" i="4"/>
  <c r="AH57" i="4" s="1"/>
  <c r="AG58" i="4"/>
  <c r="AH58" i="4" s="1"/>
  <c r="AG59" i="4"/>
  <c r="AH59" i="4" s="1"/>
  <c r="AG60" i="4"/>
  <c r="AH60" i="4" s="1"/>
  <c r="AG61" i="4"/>
  <c r="AH61" i="4" s="1"/>
  <c r="AG62" i="4"/>
  <c r="AH62" i="4" s="1"/>
  <c r="AG63" i="4"/>
  <c r="AH63" i="4" s="1"/>
  <c r="AG64" i="4"/>
  <c r="AH64" i="4" s="1"/>
  <c r="AG65" i="4"/>
  <c r="AH65" i="4" s="1"/>
  <c r="AG66" i="4"/>
  <c r="AH66" i="4" s="1"/>
  <c r="AG67" i="4"/>
  <c r="AH67" i="4" s="1"/>
  <c r="AG68" i="4"/>
  <c r="AH68" i="4" s="1"/>
  <c r="AG69" i="4"/>
  <c r="AH69" i="4" s="1"/>
  <c r="AG70" i="4"/>
  <c r="AH70" i="4" s="1"/>
  <c r="AG71" i="4"/>
  <c r="AH71" i="4" s="1"/>
  <c r="AG72" i="4"/>
  <c r="AH72" i="4" s="1"/>
  <c r="AG73" i="4"/>
  <c r="AH73" i="4" s="1"/>
  <c r="AG74" i="4"/>
  <c r="AH74" i="4" s="1"/>
  <c r="AG75" i="4"/>
  <c r="AH75" i="4" s="1"/>
  <c r="AG76" i="4"/>
  <c r="AH76" i="4" s="1"/>
  <c r="AG77" i="4"/>
  <c r="AH77" i="4" s="1"/>
  <c r="AG78" i="4"/>
  <c r="AH78" i="4" s="1"/>
  <c r="AG79" i="4"/>
  <c r="AG80" i="4"/>
  <c r="AH80" i="4" s="1"/>
  <c r="AG81" i="4"/>
  <c r="AH81" i="4" s="1"/>
  <c r="AG82" i="4"/>
  <c r="AH82" i="4" s="1"/>
  <c r="AG83" i="4"/>
  <c r="AH83" i="4" s="1"/>
  <c r="AG84" i="4"/>
  <c r="AH84" i="4" s="1"/>
  <c r="AG85" i="4"/>
  <c r="AH85" i="4" s="1"/>
  <c r="AG86" i="4"/>
  <c r="AH86" i="4" s="1"/>
  <c r="AG87" i="4"/>
  <c r="AH87" i="4" s="1"/>
  <c r="AG88" i="4"/>
  <c r="AH88" i="4" s="1"/>
  <c r="AG89" i="4"/>
  <c r="AH89" i="4" s="1"/>
  <c r="AG90" i="4"/>
  <c r="AH90" i="4" s="1"/>
  <c r="AG91" i="4"/>
  <c r="AH91" i="4" s="1"/>
  <c r="AG92" i="4"/>
  <c r="AH92" i="4" s="1"/>
  <c r="AG93" i="4"/>
  <c r="AH93" i="4" s="1"/>
  <c r="AG94" i="4"/>
  <c r="AH94" i="4" s="1"/>
  <c r="AG95" i="4"/>
  <c r="AH95" i="4" s="1"/>
  <c r="AG96" i="4"/>
  <c r="AH96" i="4" s="1"/>
  <c r="AG97" i="4"/>
  <c r="AH97" i="4" s="1"/>
  <c r="AG98" i="4"/>
  <c r="AH98" i="4" s="1"/>
  <c r="AG99" i="4"/>
  <c r="AH99" i="4" s="1"/>
  <c r="AG100" i="4"/>
  <c r="AH100" i="4" s="1"/>
  <c r="AG101" i="4"/>
  <c r="AH101" i="4" s="1"/>
  <c r="AG102" i="4"/>
  <c r="AH102" i="4" s="1"/>
  <c r="AG103" i="4"/>
  <c r="AH103" i="4" s="1"/>
  <c r="AG104" i="4"/>
  <c r="AH104" i="4" s="1"/>
  <c r="AG105" i="4"/>
  <c r="AH105" i="4" s="1"/>
  <c r="AG106" i="4"/>
  <c r="AH106" i="4" s="1"/>
  <c r="AG107" i="4"/>
  <c r="AH107" i="4" s="1"/>
  <c r="AG108" i="4"/>
  <c r="AH108" i="4" s="1"/>
  <c r="AG109" i="4"/>
  <c r="AH109" i="4" s="1"/>
  <c r="AG110" i="4"/>
  <c r="AH110" i="4" s="1"/>
  <c r="AG111" i="4"/>
  <c r="AH111" i="4" s="1"/>
  <c r="AG112" i="4"/>
  <c r="AH112" i="4" s="1"/>
  <c r="AG113" i="4"/>
  <c r="AH113" i="4" s="1"/>
  <c r="AG114" i="4"/>
  <c r="AH114" i="4" s="1"/>
  <c r="AG115" i="4"/>
  <c r="AH115" i="4" s="1"/>
  <c r="AG116" i="4"/>
  <c r="AH116" i="4" s="1"/>
  <c r="AG117" i="4"/>
  <c r="AH117" i="4" s="1"/>
  <c r="AG118" i="4"/>
  <c r="AH118" i="4" s="1"/>
  <c r="AG119" i="4"/>
  <c r="AG120" i="4"/>
  <c r="AH120" i="4" s="1"/>
  <c r="AG121" i="4"/>
  <c r="AH121" i="4" s="1"/>
  <c r="AG122" i="4"/>
  <c r="AH122" i="4" s="1"/>
  <c r="AG123" i="4"/>
  <c r="AH123" i="4" s="1"/>
  <c r="AG124" i="4"/>
  <c r="AH124" i="4" s="1"/>
  <c r="AG125" i="4"/>
  <c r="AH125" i="4" s="1"/>
  <c r="AG126" i="4"/>
  <c r="AH126" i="4" s="1"/>
  <c r="AG127" i="4"/>
  <c r="AH127" i="4" s="1"/>
  <c r="AG128" i="4"/>
  <c r="AH128" i="4" s="1"/>
  <c r="AG129" i="4"/>
  <c r="AH129" i="4" s="1"/>
  <c r="AG130" i="4"/>
  <c r="AH130" i="4" s="1"/>
  <c r="AG131" i="4"/>
  <c r="AH131" i="4" s="1"/>
  <c r="AG132" i="4"/>
  <c r="AH132" i="4" s="1"/>
  <c r="AG133" i="4"/>
  <c r="AH133" i="4" s="1"/>
  <c r="AG134" i="4"/>
  <c r="AH134" i="4" s="1"/>
  <c r="AG135" i="4"/>
  <c r="AH135" i="4" s="1"/>
  <c r="AG136" i="4"/>
  <c r="AH136" i="4" s="1"/>
  <c r="AG137" i="4"/>
  <c r="AH137" i="4" s="1"/>
  <c r="AG138" i="4"/>
  <c r="AH138" i="4" s="1"/>
  <c r="AG139" i="4"/>
  <c r="AH139" i="4" s="1"/>
  <c r="AG140" i="4"/>
  <c r="AH140" i="4" s="1"/>
  <c r="AG141" i="4"/>
  <c r="AH141" i="4" s="1"/>
  <c r="AG142" i="4"/>
  <c r="AH142" i="4" s="1"/>
  <c r="AG143" i="4"/>
  <c r="AH143" i="4" s="1"/>
  <c r="AG144" i="4"/>
  <c r="AH144" i="4" s="1"/>
  <c r="AG145" i="4"/>
  <c r="AH145" i="4" s="1"/>
  <c r="AG146" i="4"/>
  <c r="AH146" i="4" s="1"/>
  <c r="AG147" i="4"/>
  <c r="AH147" i="4" s="1"/>
  <c r="AG148" i="4"/>
  <c r="AH148" i="4" s="1"/>
  <c r="AG149" i="4"/>
  <c r="AH149" i="4" s="1"/>
  <c r="AG150" i="4"/>
  <c r="AH150" i="4" s="1"/>
  <c r="AG151" i="4"/>
  <c r="AH151" i="4" s="1"/>
  <c r="AG152" i="4"/>
  <c r="AH152" i="4" s="1"/>
  <c r="AG153" i="4"/>
  <c r="AH153" i="4" s="1"/>
  <c r="AG154" i="4"/>
  <c r="AH154" i="4" s="1"/>
  <c r="AG155" i="4"/>
  <c r="AH155" i="4" s="1"/>
  <c r="AG156" i="4"/>
  <c r="AG157" i="4"/>
  <c r="AG158" i="4"/>
  <c r="AH158" i="4" s="1"/>
  <c r="AG159" i="4"/>
  <c r="AG160" i="4"/>
  <c r="AH160" i="4" s="1"/>
  <c r="AG161" i="4"/>
  <c r="AG162" i="4"/>
  <c r="AH162" i="4" s="1"/>
  <c r="AG163" i="4"/>
  <c r="AH163" i="4" s="1"/>
  <c r="AG164" i="4"/>
  <c r="AG165" i="4"/>
  <c r="AH165" i="4" s="1"/>
  <c r="AG166" i="4"/>
  <c r="AG167" i="4"/>
  <c r="AG168" i="4"/>
  <c r="AH168" i="4" s="1"/>
  <c r="AG169" i="4"/>
  <c r="AG170" i="4"/>
  <c r="AH170" i="4" s="1"/>
  <c r="AG171" i="4"/>
  <c r="AH171" i="4" s="1"/>
  <c r="AG172" i="4"/>
  <c r="AG173" i="4"/>
  <c r="AG174" i="4"/>
  <c r="AH174" i="4" s="1"/>
  <c r="AG175" i="4"/>
  <c r="AH175" i="4" s="1"/>
  <c r="AG176" i="4"/>
  <c r="AH176" i="4" s="1"/>
  <c r="AG177" i="4"/>
  <c r="AG178" i="4"/>
  <c r="AH178" i="4" s="1"/>
  <c r="AG179" i="4"/>
  <c r="AH179" i="4" s="1"/>
  <c r="AG180" i="4"/>
  <c r="AG181" i="4"/>
  <c r="AG182" i="4"/>
  <c r="AG183" i="4"/>
  <c r="AH183" i="4" s="1"/>
  <c r="AG184" i="4"/>
  <c r="AH184" i="4" s="1"/>
  <c r="AG185" i="4"/>
  <c r="AG186" i="4"/>
  <c r="AH186" i="4" s="1"/>
  <c r="AG187" i="4"/>
  <c r="AH187" i="4" s="1"/>
  <c r="AG188" i="4"/>
  <c r="AG189" i="4"/>
  <c r="AH189" i="4" s="1"/>
  <c r="AG190" i="4"/>
  <c r="AH190" i="4" s="1"/>
  <c r="AG191" i="4"/>
  <c r="AG192" i="4"/>
  <c r="AH192" i="4" s="1"/>
  <c r="AG193" i="4"/>
  <c r="AH193" i="4" s="1"/>
  <c r="AG194" i="4"/>
  <c r="AH194" i="4" s="1"/>
  <c r="AG195" i="4"/>
  <c r="AH195" i="4" s="1"/>
  <c r="AG196" i="4"/>
  <c r="AG197" i="4"/>
  <c r="AH197" i="4" s="1"/>
  <c r="AG198" i="4"/>
  <c r="AG199" i="4"/>
  <c r="AG200" i="4"/>
  <c r="AH200" i="4" s="1"/>
  <c r="AG201" i="4"/>
  <c r="AG202" i="4"/>
  <c r="AH202" i="4" s="1"/>
  <c r="AG203" i="4"/>
  <c r="AH203" i="4" s="1"/>
  <c r="AG204" i="4"/>
  <c r="AG205" i="4"/>
  <c r="AH205" i="4" s="1"/>
  <c r="AG206" i="4"/>
  <c r="AH206" i="4" s="1"/>
  <c r="AG207" i="4"/>
  <c r="AH207" i="4" s="1"/>
  <c r="AG208" i="4"/>
  <c r="AH208" i="4" s="1"/>
  <c r="AG209" i="4"/>
  <c r="AG210" i="4"/>
  <c r="AH210" i="4" s="1"/>
  <c r="AG211" i="4"/>
  <c r="AH211" i="4" s="1"/>
  <c r="AG212" i="4"/>
  <c r="AG213" i="4"/>
  <c r="AH213" i="4" s="1"/>
  <c r="AG214" i="4"/>
  <c r="AH214" i="4" s="1"/>
  <c r="AG215" i="4"/>
  <c r="AH215" i="4" s="1"/>
  <c r="AG216" i="4"/>
  <c r="AH216" i="4" s="1"/>
  <c r="AG217" i="4"/>
  <c r="AH217" i="4" s="1"/>
  <c r="AG218" i="4"/>
  <c r="AH218" i="4" s="1"/>
  <c r="AG219" i="4"/>
  <c r="AH219" i="4" s="1"/>
  <c r="AG220" i="4"/>
  <c r="AG221" i="4"/>
  <c r="AG222" i="4"/>
  <c r="AH222" i="4" s="1"/>
  <c r="AG223" i="4"/>
  <c r="AG224" i="4"/>
  <c r="AH224" i="4" s="1"/>
  <c r="AG225" i="4"/>
  <c r="AH225" i="4" s="1"/>
  <c r="AG226" i="4"/>
  <c r="AH226" i="4" s="1"/>
  <c r="AG227" i="4"/>
  <c r="AH227" i="4" s="1"/>
  <c r="AG228" i="4"/>
  <c r="AG229" i="4"/>
  <c r="AG230" i="4"/>
  <c r="AH230" i="4" s="1"/>
  <c r="AG231" i="4"/>
  <c r="AG232" i="4"/>
  <c r="AH232" i="4" s="1"/>
  <c r="AG233" i="4"/>
  <c r="AH233" i="4" s="1"/>
  <c r="AG234" i="4"/>
  <c r="AH234" i="4" s="1"/>
  <c r="AG235" i="4"/>
  <c r="AH235" i="4" s="1"/>
  <c r="AG236" i="4"/>
  <c r="AG237" i="4"/>
  <c r="AG238" i="4"/>
  <c r="AH238" i="4" s="1"/>
  <c r="AG239" i="4"/>
  <c r="AG240" i="4"/>
  <c r="AH240" i="4" s="1"/>
  <c r="AG241" i="4"/>
  <c r="AG242" i="4"/>
  <c r="AH242" i="4" s="1"/>
  <c r="AG243" i="4"/>
  <c r="AH243" i="4" s="1"/>
  <c r="AG244" i="4"/>
  <c r="AG245" i="4"/>
  <c r="AH245" i="4" s="1"/>
  <c r="AG246" i="4"/>
  <c r="AH246" i="4" s="1"/>
  <c r="AG247" i="4"/>
  <c r="AH247" i="4" s="1"/>
  <c r="AG248" i="4"/>
  <c r="AH248" i="4" s="1"/>
  <c r="AG249" i="4"/>
  <c r="AG250" i="4"/>
  <c r="AH250" i="4" s="1"/>
  <c r="AG251" i="4"/>
  <c r="AH251" i="4" s="1"/>
  <c r="AG252" i="4"/>
  <c r="AG253" i="4"/>
  <c r="AG254" i="4"/>
  <c r="AH254" i="4" s="1"/>
  <c r="AG255" i="4"/>
  <c r="AH255" i="4" s="1"/>
  <c r="AG256" i="4"/>
  <c r="AH256" i="4" s="1"/>
  <c r="AG257" i="4"/>
  <c r="AH257" i="4" s="1"/>
  <c r="AG258" i="4"/>
  <c r="AH258" i="4" s="1"/>
  <c r="AG259" i="4"/>
  <c r="AH259" i="4" s="1"/>
  <c r="AG260" i="4"/>
  <c r="AG261" i="4"/>
  <c r="AH261" i="4" s="1"/>
  <c r="AG262" i="4"/>
  <c r="AH262" i="4" s="1"/>
  <c r="AG263" i="4"/>
  <c r="AH263" i="4" s="1"/>
  <c r="AG264" i="4"/>
  <c r="AH264" i="4" s="1"/>
  <c r="AG265" i="4"/>
  <c r="AH265" i="4" s="1"/>
  <c r="AG266" i="4"/>
  <c r="AH266" i="4" s="1"/>
  <c r="AG267" i="4"/>
  <c r="AH267" i="4" s="1"/>
  <c r="AG268" i="4"/>
  <c r="AG269" i="4"/>
  <c r="AH269" i="4" s="1"/>
  <c r="AG270" i="4"/>
  <c r="AH270" i="4" s="1"/>
  <c r="AG271" i="4"/>
  <c r="AG272" i="4"/>
  <c r="AH272" i="4" s="1"/>
  <c r="AG273" i="4"/>
  <c r="AG274" i="4"/>
  <c r="AH274" i="4" s="1"/>
  <c r="AG275" i="4"/>
  <c r="AH275" i="4" s="1"/>
  <c r="AG276" i="4"/>
  <c r="AG277" i="4"/>
  <c r="AG278" i="4"/>
  <c r="AH278" i="4" s="1"/>
  <c r="AG279" i="4"/>
  <c r="AH279" i="4" s="1"/>
  <c r="AG280" i="4"/>
  <c r="AH280" i="4" s="1"/>
  <c r="AG281" i="4"/>
  <c r="AG282" i="4"/>
  <c r="AH282" i="4" s="1"/>
  <c r="AG283" i="4"/>
  <c r="AH283" i="4" s="1"/>
  <c r="AG284" i="4"/>
  <c r="AG285" i="4"/>
  <c r="AH285" i="4" s="1"/>
  <c r="AG286" i="4"/>
  <c r="AH286" i="4" s="1"/>
  <c r="AG287" i="4"/>
  <c r="AH287" i="4" s="1"/>
  <c r="AG288" i="4"/>
  <c r="AH288" i="4" s="1"/>
  <c r="AG289" i="4"/>
  <c r="AG290" i="4"/>
  <c r="AH290" i="4" s="1"/>
  <c r="AG291" i="4"/>
  <c r="AH291" i="4" s="1"/>
  <c r="AG292" i="4"/>
  <c r="AG293" i="4"/>
  <c r="AH293" i="4" s="1"/>
  <c r="AG294" i="4"/>
  <c r="AH294" i="4" s="1"/>
  <c r="AG295" i="4"/>
  <c r="AG296" i="4"/>
  <c r="AH296" i="4" s="1"/>
  <c r="AG297" i="4"/>
  <c r="AH297" i="4" s="1"/>
  <c r="AG298" i="4"/>
  <c r="AH298" i="4" s="1"/>
  <c r="AG299" i="4"/>
  <c r="AH299" i="4" s="1"/>
  <c r="AG300" i="4"/>
  <c r="AG3" i="4"/>
  <c r="AH3" i="4" s="1"/>
  <c r="AH7" i="4"/>
  <c r="AH47" i="4"/>
  <c r="AH79" i="4"/>
  <c r="AH119" i="4"/>
  <c r="AH156" i="4"/>
  <c r="AH157" i="4"/>
  <c r="AH159" i="4"/>
  <c r="AH161" i="4"/>
  <c r="AH164" i="4"/>
  <c r="AH166" i="4"/>
  <c r="AH167" i="4"/>
  <c r="AH169" i="4"/>
  <c r="AH172" i="4"/>
  <c r="AH173" i="4"/>
  <c r="AH177" i="4"/>
  <c r="AH180" i="4"/>
  <c r="AH181" i="4"/>
  <c r="AH182" i="4"/>
  <c r="AH185" i="4"/>
  <c r="AH188" i="4"/>
  <c r="AH191" i="4"/>
  <c r="AH196" i="4"/>
  <c r="AH198" i="4"/>
  <c r="AH199" i="4"/>
  <c r="AH201" i="4"/>
  <c r="AH204" i="4"/>
  <c r="AH209" i="4"/>
  <c r="AH212" i="4"/>
  <c r="AH220" i="4"/>
  <c r="AH221" i="4"/>
  <c r="AH223" i="4"/>
  <c r="AH228" i="4"/>
  <c r="AH229" i="4"/>
  <c r="AH231" i="4"/>
  <c r="AH236" i="4"/>
  <c r="AH237" i="4"/>
  <c r="AH239" i="4"/>
  <c r="AH241" i="4"/>
  <c r="AH244" i="4"/>
  <c r="AH249" i="4"/>
  <c r="AH252" i="4"/>
  <c r="AH253" i="4"/>
  <c r="AH260" i="4"/>
  <c r="AH268" i="4"/>
  <c r="AH271" i="4"/>
  <c r="AH273" i="4"/>
  <c r="AH276" i="4"/>
  <c r="AH277" i="4"/>
  <c r="AH281" i="4"/>
  <c r="AH284" i="4"/>
  <c r="AH289" i="4"/>
  <c r="AH292" i="4"/>
  <c r="AH295" i="4"/>
  <c r="AH300" i="4"/>
  <c r="L4" i="4" a="1"/>
  <c r="L4" i="4" s="1"/>
  <c r="Y3" i="4"/>
  <c r="AA3" i="4" s="1"/>
  <c r="M8" i="4"/>
  <c r="M7" i="4"/>
  <c r="M6" i="4"/>
  <c r="M5" i="4"/>
  <c r="M4" i="4"/>
  <c r="M3" i="4" l="1"/>
  <c r="AJ3" i="4" a="1"/>
  <c r="AJ3" i="4" s="1"/>
  <c r="N3" i="4"/>
  <c r="Y4" i="4"/>
  <c r="AA4" i="4" s="1"/>
  <c r="S16" i="4" a="1"/>
  <c r="S16" i="4" s="1"/>
  <c r="S3" i="4" s="1" a="1"/>
  <c r="B3" i="4"/>
  <c r="O3" i="4" l="1"/>
  <c r="Q3" i="4"/>
  <c r="S3" i="4"/>
  <c r="X16" i="9" s="1"/>
  <c r="X24" i="9"/>
  <c r="W22" i="9"/>
  <c r="V20" i="9"/>
  <c r="X17" i="9"/>
  <c r="X25" i="9"/>
  <c r="W23" i="9"/>
  <c r="V21" i="9"/>
  <c r="X18" i="9"/>
  <c r="W16" i="9"/>
  <c r="W24" i="9"/>
  <c r="V22" i="9"/>
  <c r="X19" i="9"/>
  <c r="W17" i="9"/>
  <c r="W25" i="9"/>
  <c r="V23" i="9"/>
  <c r="X20" i="9"/>
  <c r="W18" i="9"/>
  <c r="V16" i="9"/>
  <c r="V24" i="9"/>
  <c r="X21" i="9"/>
  <c r="W19" i="9"/>
  <c r="V17" i="9"/>
  <c r="V25" i="9"/>
  <c r="X23" i="9"/>
  <c r="W21" i="9"/>
  <c r="V19" i="9"/>
  <c r="X22" i="9"/>
  <c r="W20" i="9"/>
  <c r="V18" i="9"/>
  <c r="B4" i="4"/>
  <c r="Z3" i="4"/>
  <c r="Y5" i="4"/>
  <c r="AA5" i="4" s="1"/>
  <c r="Y6" i="4" l="1"/>
  <c r="AA6" i="4" s="1"/>
  <c r="AB3" i="4"/>
  <c r="Z4" i="4"/>
  <c r="AB4" i="4" l="1"/>
  <c r="Z5" i="4"/>
  <c r="Y7" i="4"/>
  <c r="AA7" i="4" s="1"/>
  <c r="Y8" i="4" l="1"/>
  <c r="AA8" i="4" s="1"/>
  <c r="Z6" i="4"/>
  <c r="AB5" i="4"/>
  <c r="Z7" i="4" l="1"/>
  <c r="AB6" i="4"/>
  <c r="Y9" i="4"/>
  <c r="AA9" i="4" s="1"/>
  <c r="Y10" i="4" l="1"/>
  <c r="AA10" i="4" s="1"/>
  <c r="Z8" i="4"/>
  <c r="AB7" i="4"/>
  <c r="Z9" i="4" l="1"/>
  <c r="AB8" i="4"/>
  <c r="Y11" i="4"/>
  <c r="AA11" i="4" s="1"/>
  <c r="Y12" i="4" l="1"/>
  <c r="AA12" i="4" s="1"/>
  <c r="Z10" i="4"/>
  <c r="AB9" i="4"/>
  <c r="Z11" i="4" l="1"/>
  <c r="AB10" i="4"/>
  <c r="Y13" i="4"/>
  <c r="AA13" i="4" s="1"/>
  <c r="Y14" i="4" l="1"/>
  <c r="AA14" i="4" s="1"/>
  <c r="Z12" i="4"/>
  <c r="AB11" i="4"/>
  <c r="Y15" i="4" l="1"/>
  <c r="AA15" i="4" s="1"/>
  <c r="Z13" i="4"/>
  <c r="AB12" i="4"/>
  <c r="Z14" i="4" l="1"/>
  <c r="AB13" i="4"/>
  <c r="Y16" i="4"/>
  <c r="AA16" i="4" s="1"/>
  <c r="Y17" i="4" l="1"/>
  <c r="AA17" i="4" s="1"/>
  <c r="Z15" i="4"/>
  <c r="AB14" i="4"/>
  <c r="Z16" i="4" l="1"/>
  <c r="AB15" i="4"/>
  <c r="Y18" i="4"/>
  <c r="AA18" i="4" s="1"/>
  <c r="Z17" i="4" l="1"/>
  <c r="AB16" i="4"/>
  <c r="Y19" i="4"/>
  <c r="AA19" i="4" s="1"/>
  <c r="Y20" i="4" l="1"/>
  <c r="AA20" i="4" s="1"/>
  <c r="Z18" i="4"/>
  <c r="AB17" i="4"/>
  <c r="Z19" i="4" l="1"/>
  <c r="AB18" i="4"/>
  <c r="Y21" i="4"/>
  <c r="AA21" i="4" s="1"/>
  <c r="Y22" i="4" l="1"/>
  <c r="AA22" i="4" s="1"/>
  <c r="Z20" i="4"/>
  <c r="AB19" i="4"/>
  <c r="Z21" i="4" l="1"/>
  <c r="AB20" i="4"/>
  <c r="Y23" i="4"/>
  <c r="AA23" i="4" s="1"/>
  <c r="Y24" i="4" l="1"/>
  <c r="AA24" i="4" s="1"/>
  <c r="Z22" i="4"/>
  <c r="AB21" i="4"/>
  <c r="Y25" i="4" l="1"/>
  <c r="AA25" i="4" s="1"/>
  <c r="Z23" i="4"/>
  <c r="AB22" i="4"/>
  <c r="Z24" i="4" l="1"/>
  <c r="AB23" i="4"/>
  <c r="Y26" i="4"/>
  <c r="AA26" i="4" s="1"/>
  <c r="Y27" i="4" l="1"/>
  <c r="AA27" i="4" s="1"/>
  <c r="Z25" i="4"/>
  <c r="AB24" i="4"/>
  <c r="Z26" i="4" l="1"/>
  <c r="AB25" i="4"/>
  <c r="Y28" i="4"/>
  <c r="AA28" i="4" s="1"/>
  <c r="Y29" i="4" l="1"/>
  <c r="AA29" i="4" s="1"/>
  <c r="Z27" i="4"/>
  <c r="AB26" i="4"/>
  <c r="Z28" i="4" l="1"/>
  <c r="AB27" i="4"/>
  <c r="Y30" i="4"/>
  <c r="AA30" i="4" s="1"/>
  <c r="Y31" i="4" l="1"/>
  <c r="AA31" i="4" s="1"/>
  <c r="Z29" i="4"/>
  <c r="AB28" i="4"/>
  <c r="Z30" i="4" l="1"/>
  <c r="AB29" i="4"/>
  <c r="Y32" i="4"/>
  <c r="AA32" i="4" s="1"/>
  <c r="Y33" i="4" l="1"/>
  <c r="AA33" i="4" s="1"/>
  <c r="Z31" i="4"/>
  <c r="AB30" i="4"/>
  <c r="Z32" i="4" l="1"/>
  <c r="AB31" i="4"/>
  <c r="Z33" i="4" l="1"/>
  <c r="AB33" i="4" s="1"/>
  <c r="AB32" i="4"/>
  <c r="J1" i="4" l="1"/>
  <c r="H7" i="4" s="1"/>
  <c r="D7" i="4"/>
  <c r="E7" i="4"/>
  <c r="D4" i="4"/>
  <c r="D5" i="4"/>
  <c r="D6" i="4"/>
  <c r="D3" i="4"/>
  <c r="E4" i="4"/>
  <c r="E5" i="4"/>
  <c r="E6" i="4"/>
  <c r="E3" i="4"/>
  <c r="N6" i="4" l="1"/>
  <c r="N8" i="4"/>
  <c r="N4" i="4"/>
  <c r="N5" i="4"/>
  <c r="N7" i="4"/>
  <c r="H14" i="4"/>
  <c r="H6" i="4"/>
  <c r="H13" i="4"/>
  <c r="H5" i="4"/>
  <c r="H12" i="4"/>
  <c r="H4" i="4"/>
  <c r="H11" i="4"/>
  <c r="H3" i="4"/>
  <c r="H10" i="4"/>
  <c r="H9" i="4"/>
  <c r="H8" i="4"/>
  <c r="I7" i="4" s="1"/>
  <c r="J7" i="4" s="1"/>
  <c r="C50" i="3"/>
  <c r="B40" i="3"/>
  <c r="C40" i="3"/>
  <c r="C31" i="3"/>
  <c r="C32" i="3"/>
  <c r="C33" i="3"/>
  <c r="C34" i="3"/>
  <c r="C35" i="3"/>
  <c r="C36" i="3"/>
  <c r="C37" i="3"/>
  <c r="C38" i="3"/>
  <c r="C39" i="3"/>
  <c r="C41" i="3"/>
  <c r="C70" i="3"/>
  <c r="C71" i="3"/>
  <c r="C72" i="3"/>
  <c r="C73" i="3"/>
  <c r="C74" i="3"/>
  <c r="C75" i="3"/>
  <c r="C76" i="3"/>
  <c r="C77" i="3"/>
  <c r="C78" i="3"/>
  <c r="C69" i="3"/>
  <c r="C60" i="3"/>
  <c r="C61" i="3"/>
  <c r="C62" i="3"/>
  <c r="C63" i="3"/>
  <c r="C64" i="3"/>
  <c r="C65" i="3"/>
  <c r="C66" i="3"/>
  <c r="C67" i="3"/>
  <c r="C68" i="3"/>
  <c r="C59" i="3"/>
  <c r="C51" i="3"/>
  <c r="C52" i="3"/>
  <c r="C53" i="3"/>
  <c r="C54" i="3"/>
  <c r="C55" i="3"/>
  <c r="C56" i="3"/>
  <c r="C57" i="3"/>
  <c r="C58" i="3"/>
  <c r="C42" i="3"/>
  <c r="C43" i="3"/>
  <c r="C44" i="3"/>
  <c r="C45" i="3"/>
  <c r="C46" i="3"/>
  <c r="C47" i="3"/>
  <c r="C48" i="3"/>
  <c r="C49" i="3"/>
  <c r="B70" i="3"/>
  <c r="B71" i="3"/>
  <c r="B72" i="3"/>
  <c r="B73" i="3"/>
  <c r="B74" i="3"/>
  <c r="B75" i="3"/>
  <c r="B76" i="3"/>
  <c r="B77" i="3"/>
  <c r="B78" i="3"/>
  <c r="B69" i="3"/>
  <c r="B60" i="3"/>
  <c r="B61" i="3"/>
  <c r="B62" i="3"/>
  <c r="B63" i="3"/>
  <c r="B64" i="3"/>
  <c r="B65" i="3"/>
  <c r="B66" i="3"/>
  <c r="B67" i="3"/>
  <c r="B68" i="3"/>
  <c r="B59" i="3"/>
  <c r="B51" i="3"/>
  <c r="B52" i="3"/>
  <c r="B53" i="3"/>
  <c r="B54" i="3"/>
  <c r="B55" i="3"/>
  <c r="B56" i="3"/>
  <c r="B57" i="3"/>
  <c r="B58" i="3"/>
  <c r="B50" i="3"/>
  <c r="B42" i="3"/>
  <c r="B43" i="3"/>
  <c r="B44" i="3"/>
  <c r="B45" i="3"/>
  <c r="B46" i="3"/>
  <c r="B47" i="3"/>
  <c r="B48" i="3"/>
  <c r="B49" i="3"/>
  <c r="B41" i="3"/>
  <c r="B32" i="3"/>
  <c r="B33" i="3"/>
  <c r="B34" i="3"/>
  <c r="B35" i="3"/>
  <c r="B36" i="3"/>
  <c r="B37" i="3"/>
  <c r="B38" i="3"/>
  <c r="B39" i="3"/>
  <c r="B31" i="3"/>
  <c r="O13" i="3"/>
  <c r="L13" i="3"/>
  <c r="F13" i="3"/>
  <c r="C13" i="3"/>
  <c r="Q7" i="4" l="1"/>
  <c r="O7" i="4"/>
  <c r="Q5" i="4"/>
  <c r="O5" i="4"/>
  <c r="Q4" i="4"/>
  <c r="O4" i="4"/>
  <c r="Q8" i="4"/>
  <c r="O8" i="4"/>
  <c r="Q6" i="4"/>
  <c r="O6" i="4"/>
  <c r="I9" i="4"/>
  <c r="J9" i="4" s="1"/>
  <c r="I10" i="4"/>
  <c r="J10" i="4" s="1"/>
  <c r="I4" i="4"/>
  <c r="J4" i="4" s="1"/>
  <c r="I3" i="4"/>
  <c r="J3" i="4" s="1"/>
  <c r="I11" i="4"/>
  <c r="J11" i="4" s="1"/>
  <c r="I12" i="4"/>
  <c r="J12" i="4" s="1"/>
  <c r="I8" i="4"/>
  <c r="J8" i="4" s="1"/>
  <c r="I5" i="4"/>
  <c r="J5" i="4" s="1"/>
  <c r="I13" i="4"/>
  <c r="J13" i="4" s="1"/>
  <c r="I14" i="4"/>
  <c r="J14" i="4" s="1"/>
  <c r="I6" i="4"/>
  <c r="J6" i="4" s="1"/>
  <c r="E31" i="3" a="1"/>
  <c r="E31" i="3" s="1"/>
  <c r="F31" i="3" a="1"/>
  <c r="F31" i="3" s="1"/>
  <c r="I1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<sst xmlns="http://schemas.openxmlformats.org/spreadsheetml/2006/main" count="2340" uniqueCount="174">
  <si>
    <t>Loại chi tiêu</t>
  </si>
  <si>
    <t>Định mức</t>
  </si>
  <si>
    <t>Nhà ở</t>
  </si>
  <si>
    <t>Hóa đơn hàng tháng</t>
  </si>
  <si>
    <t>Ăn uống</t>
  </si>
  <si>
    <t>Đi lại</t>
  </si>
  <si>
    <t>Chi phí thiết yếu</t>
  </si>
  <si>
    <t>Tổng</t>
  </si>
  <si>
    <t>Chi phí cá nhân</t>
  </si>
  <si>
    <t>Giải trí và xã hội</t>
  </si>
  <si>
    <t>Quà tặng, hiếu, hỉ</t>
  </si>
  <si>
    <t>Tiết kiệm, đầu tư</t>
  </si>
  <si>
    <t>Mua sắm</t>
  </si>
  <si>
    <t>Sức khỏe, làm đẹp</t>
  </si>
  <si>
    <t>Học tập, phát triển</t>
  </si>
  <si>
    <t>Du lịch</t>
  </si>
  <si>
    <t>Giải trí</t>
  </si>
  <si>
    <t>Bạn bè, đồng nghiệp</t>
  </si>
  <si>
    <t>Quà tặng</t>
  </si>
  <si>
    <t>Hiếu, hỉ</t>
  </si>
  <si>
    <t>Tiết kiệm</t>
  </si>
  <si>
    <t>Đầu tư</t>
  </si>
  <si>
    <t>NGÀY CHI</t>
  </si>
  <si>
    <t>NHÓM CHI TIÊU</t>
  </si>
  <si>
    <t>LOẠI CHI TIÊU</t>
  </si>
  <si>
    <t>CHI TIẾT</t>
  </si>
  <si>
    <t>SỐ TIỀN</t>
  </si>
  <si>
    <t>Đổ xăng</t>
  </si>
  <si>
    <t>Đi chợ</t>
  </si>
  <si>
    <t>Gửi tiết kiệm</t>
  </si>
  <si>
    <t>Gội đầu</t>
  </si>
  <si>
    <t>Các khoản chi tiêu hàng ngày</t>
  </si>
  <si>
    <t>Bảng Nhật Kí Chi Tiêu Cá Nhân &amp; Gia Đình</t>
  </si>
  <si>
    <t>Tiền điện</t>
  </si>
  <si>
    <t>Tiền nước</t>
  </si>
  <si>
    <t>Tiền mạng internet</t>
  </si>
  <si>
    <t>Tiền rác</t>
  </si>
  <si>
    <t>Mua sách kế toán doanh nghiệp</t>
  </si>
  <si>
    <t>Sữa rửa mặt</t>
  </si>
  <si>
    <t>Kem đánh răng</t>
  </si>
  <si>
    <t>Sách Nhà Giả Kim</t>
  </si>
  <si>
    <t>Quỹ du lịch</t>
  </si>
  <si>
    <t>đi xem phim</t>
  </si>
  <si>
    <t>Gói Netflix</t>
  </si>
  <si>
    <t>Cà phê</t>
  </si>
  <si>
    <t>Quần mới</t>
  </si>
  <si>
    <t>Áo sơ mi</t>
  </si>
  <si>
    <t>Đồ lót</t>
  </si>
  <si>
    <t>Mua cổ phiếu</t>
  </si>
  <si>
    <t>Quà cho mẹ</t>
  </si>
  <si>
    <t>Thay dầu</t>
  </si>
  <si>
    <t>Rửa xe</t>
  </si>
  <si>
    <t>Mua tất</t>
  </si>
  <si>
    <t>Đám cưới</t>
  </si>
  <si>
    <t>Quà cho nguời yêu</t>
  </si>
  <si>
    <t>Lương tháng 1</t>
  </si>
  <si>
    <t>Lương</t>
  </si>
  <si>
    <t>Lương tháng 2</t>
  </si>
  <si>
    <t>Lương tháng 3</t>
  </si>
  <si>
    <t>Lương tháng 4</t>
  </si>
  <si>
    <t>Lương tháng 5</t>
  </si>
  <si>
    <t>Lương tháng 6</t>
  </si>
  <si>
    <t>Lương tháng 7</t>
  </si>
  <si>
    <t>Lương tháng 8</t>
  </si>
  <si>
    <t>Lương tháng 9</t>
  </si>
  <si>
    <t>Lương tháng 10</t>
  </si>
  <si>
    <t>Lương tháng 11</t>
  </si>
  <si>
    <t>Thưởng</t>
  </si>
  <si>
    <t>Thưởng KPI tháng 1</t>
  </si>
  <si>
    <t>Thưởng KPI tháng 2</t>
  </si>
  <si>
    <t>Thưởng KPI tháng 3</t>
  </si>
  <si>
    <t>Thưởng KPI tháng 4</t>
  </si>
  <si>
    <t>Thưởng KPI tháng 5</t>
  </si>
  <si>
    <t>Thưởng KPI tháng 6</t>
  </si>
  <si>
    <t>Thưởng KPI tháng 7</t>
  </si>
  <si>
    <t>Thưởng KPI tháng 8</t>
  </si>
  <si>
    <t>Thưởng KPI tháng 9</t>
  </si>
  <si>
    <t>Thưởng KPI tháng 10</t>
  </si>
  <si>
    <t>Thưởng KPI tháng 11</t>
  </si>
  <si>
    <t>LOẠI THU NHẬP</t>
  </si>
  <si>
    <t>Bảng Nhật Kí Các Nguồn Thu Nhập Cá Nhân Và Gia Đình</t>
  </si>
  <si>
    <t>Các khoản thu nhập hàng tháng</t>
  </si>
  <si>
    <t>Row Labels</t>
  </si>
  <si>
    <t>Sum of SỐ TIỀN</t>
  </si>
  <si>
    <t>#CCECFF</t>
  </si>
  <si>
    <t>Background</t>
  </si>
  <si>
    <t>#AB3DC4</t>
  </si>
  <si>
    <t>#821798</t>
  </si>
  <si>
    <t>#0CB1F1</t>
  </si>
  <si>
    <t>#0A9ECD</t>
  </si>
  <si>
    <t>#1FD7A5</t>
  </si>
  <si>
    <t>#14BC89</t>
  </si>
  <si>
    <t>#FEB81A</t>
  </si>
  <si>
    <t>#FF9614</t>
  </si>
  <si>
    <t>#EC3957</t>
  </si>
  <si>
    <t>#CF1D3F</t>
  </si>
  <si>
    <t>#F88032</t>
  </si>
  <si>
    <t>#0186EB</t>
  </si>
  <si>
    <t>#33CAC8</t>
  </si>
  <si>
    <t>#F8BC2F</t>
  </si>
  <si>
    <t>#85D1FF</t>
  </si>
  <si>
    <t>#26ACAF</t>
  </si>
  <si>
    <t>Nhóm chi tiêu</t>
  </si>
  <si>
    <t>Tổng tiền</t>
  </si>
  <si>
    <t>Tháng</t>
  </si>
  <si>
    <t>Tổng thu nhập</t>
  </si>
  <si>
    <t>Tổng chi tiêu</t>
  </si>
  <si>
    <t>STT</t>
  </si>
  <si>
    <t>Năm theo dõi, lấy theo bảng chi tiêu</t>
  </si>
  <si>
    <t>NGÀY</t>
  </si>
  <si>
    <t>Hàm xử lý ngày tháng</t>
  </si>
  <si>
    <t>Hàm xử lý mảng</t>
  </si>
  <si>
    <t>Hàm thông dụng</t>
  </si>
  <si>
    <t>Công cụ</t>
  </si>
  <si>
    <t>DATE()</t>
  </si>
  <si>
    <t>SUMIFS()</t>
  </si>
  <si>
    <t>PIVOT TABLE</t>
  </si>
  <si>
    <t>YEAR()</t>
  </si>
  <si>
    <t>IF()</t>
  </si>
  <si>
    <t>TABLE</t>
  </si>
  <si>
    <t>MONTH()</t>
  </si>
  <si>
    <t>SLICER</t>
  </si>
  <si>
    <t>DAY()</t>
  </si>
  <si>
    <t>NA()</t>
  </si>
  <si>
    <t>SORTBY()</t>
  </si>
  <si>
    <t>TAKE()</t>
  </si>
  <si>
    <t>DATEVALUE()</t>
  </si>
  <si>
    <t>MAX()</t>
  </si>
  <si>
    <t>CONDITIONAL FORMATTING</t>
  </si>
  <si>
    <t>SUBTOTAL()</t>
  </si>
  <si>
    <t>Định mức chi tiêu</t>
  </si>
  <si>
    <t>Chi tiêu thực tế</t>
  </si>
  <si>
    <t>ThisMonth</t>
  </si>
  <si>
    <t>LastMonth</t>
  </si>
  <si>
    <t>Đám cưới đồng nghiệp</t>
  </si>
  <si>
    <t>Chênh lệch</t>
  </si>
  <si>
    <t>Tỉ trọng các nhóm chi tiêu</t>
  </si>
  <si>
    <t>Chi tiêu của tháng hiện tại so với định mức</t>
  </si>
  <si>
    <t>Xác định ngày tháng hiện tại</t>
  </si>
  <si>
    <t>UNIQUE()</t>
  </si>
  <si>
    <t>EOMONTH()</t>
  </si>
  <si>
    <t>Tất cả</t>
  </si>
  <si>
    <t>Các khoản chi tiêu lớn nhất</t>
  </si>
  <si>
    <t>Lấy ra TOP 10 các khoản chi tiêu</t>
  </si>
  <si>
    <t>Tháng này</t>
  </si>
  <si>
    <t>Tháng trước</t>
  </si>
  <si>
    <t>Chi tiêu</t>
  </si>
  <si>
    <t>Chi tiêu tháng này</t>
  </si>
  <si>
    <t>Chi tiêu tháng trước</t>
  </si>
  <si>
    <t>INDEX()</t>
  </si>
  <si>
    <t>Aug</t>
  </si>
  <si>
    <t>Months (NGÀY CHI)</t>
  </si>
  <si>
    <t>Jan</t>
  </si>
  <si>
    <t>Feb</t>
  </si>
  <si>
    <t>Mar</t>
  </si>
  <si>
    <t>Apr</t>
  </si>
  <si>
    <t>May</t>
  </si>
  <si>
    <t>Jun</t>
  </si>
  <si>
    <t>Jul</t>
  </si>
  <si>
    <t>Sep</t>
  </si>
  <si>
    <t>Oct</t>
  </si>
  <si>
    <t>Nov</t>
  </si>
  <si>
    <t>VSTACK()</t>
  </si>
  <si>
    <t>Số dư</t>
  </si>
  <si>
    <t>So sánh chi tiêu theo từng ngày của tháng này với tháng trước</t>
  </si>
  <si>
    <t>Lấy chi tiêu thực tế của từng loại chi tiêu theo từng tháng</t>
  </si>
  <si>
    <t>Lấy ra TOP 5 loại chi tiêu của các tháng có chi tiêu dưới định mức</t>
  </si>
  <si>
    <t>Quà tặng người yêu</t>
  </si>
  <si>
    <t>Tỉ lệ chi tiêu</t>
  </si>
  <si>
    <t>Khoản chi tiêu</t>
  </si>
  <si>
    <t>Số tiền</t>
  </si>
  <si>
    <t>Ngày</t>
  </si>
  <si>
    <t>TOP</t>
  </si>
  <si>
    <t>Lựa chọn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</si>
</sst>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 #,##0.00_-;_-* &quot;-&quot;??_-;_-@_-"/>
    <numFmt numFmtId="165" formatCode="#,##0\ [$ đ]"/>
    <numFmt numFmtId="166" formatCode="_-* #,##0_-;\-* #,##0_-;_-* &quot;-&quot;??_-;_-@_-"/>
    <numFmt numFmtId="167" formatCode="mmm"/>
    <numFmt numFmtId="168" formatCode="dd"/>
    <numFmt numFmtId="169" formatCode="mm"/>
  </numFmts>
  <fonts count="41" x14ac:knownFonts="1">
    <font>
      <sz val="11"/>
      <color theme="1"/>
      <name val="Arial"/>
      <family val="2"/>
    </font>
    <font>
      <sz val="11"/>
      <color theme="1"/>
      <name val="Arial"/>
      <family val="2"/>
    </font>
    <font>
      <b/>
      <sz val="14"/>
      <color theme="1" tint="0.34998626667073579"/>
      <name val="Aptos Display"/>
      <family val="2"/>
      <scheme val="major"/>
    </font>
    <font>
      <sz val="14"/>
      <color theme="1" tint="0.499984740745262"/>
      <name val="Aptos Display"/>
      <family val="2"/>
      <scheme val="major"/>
    </font>
    <font>
      <sz val="12"/>
      <color theme="1" tint="0.249977111117893"/>
      <name val="Aptos Display"/>
      <family val="2"/>
      <scheme val="major"/>
    </font>
    <font>
      <sz val="12"/>
      <color theme="1" tint="0.499984740745262"/>
      <name val="Aptos Display"/>
      <family val="2"/>
      <scheme val="major"/>
    </font>
    <font>
      <sz val="12"/>
      <color rgb="FF941358"/>
      <name val="Aptos Display"/>
      <family val="2"/>
      <scheme val="major"/>
    </font>
    <font>
      <sz val="12"/>
      <color theme="1" tint="0.34998626667073579"/>
      <name val="Aptos Display"/>
      <family val="2"/>
      <scheme val="major"/>
    </font>
    <font>
      <b/>
      <sz val="16"/>
      <color rgb="FF009FBD"/>
      <name val="Aptos Display"/>
      <family val="2"/>
      <scheme val="major"/>
    </font>
    <font>
      <b/>
      <sz val="16"/>
      <color rgb="FF1FD7A5"/>
      <name val="Aptos Display"/>
      <family val="2"/>
      <scheme val="major"/>
    </font>
    <font>
      <b/>
      <sz val="16"/>
      <color rgb="FFDC2949"/>
      <name val="Aptos Display"/>
      <family val="2"/>
      <scheme val="major"/>
    </font>
    <font>
      <b/>
      <sz val="16"/>
      <color rgb="FF941358"/>
      <name val="Aptos Display"/>
      <family val="2"/>
      <scheme val="major"/>
    </font>
    <font>
      <sz val="12"/>
      <color theme="1"/>
      <name val="Arial"/>
      <family val="2"/>
    </font>
    <font>
      <sz val="12"/>
      <color rgb="FF941358"/>
      <name val="Arial"/>
      <family val="2"/>
    </font>
    <font>
      <b/>
      <sz val="22"/>
      <color theme="1" tint="0.249977111117893"/>
      <name val="Arial"/>
      <family val="2"/>
    </font>
    <font>
      <b/>
      <sz val="12"/>
      <color theme="1" tint="0.34998626667073579"/>
      <name val="Arial"/>
      <family val="2"/>
    </font>
    <font>
      <sz val="16"/>
      <color rgb="FF009FBD"/>
      <name val="Aptos Display"/>
      <family val="2"/>
      <scheme val="major"/>
    </font>
    <font>
      <sz val="14"/>
      <color theme="1" tint="0.34998626667073579"/>
      <name val="Aptos Display"/>
      <family val="2"/>
      <scheme val="major"/>
    </font>
    <font>
      <b/>
      <sz val="16"/>
      <color theme="1" tint="0.34998626667073579"/>
      <name val="Aptos Display"/>
      <family val="2"/>
      <scheme val="major"/>
    </font>
    <font>
      <sz val="12"/>
      <color rgb="FF009FBD"/>
      <name val="Arial"/>
      <family val="2"/>
    </font>
    <font>
      <sz val="8"/>
      <name val="Arial"/>
      <family val="2"/>
    </font>
    <font>
      <sz val="12"/>
      <color theme="1" tint="0.249977111117893"/>
      <name val="Arial"/>
      <family val="2"/>
    </font>
    <font>
      <b/>
      <sz val="12"/>
      <color theme="1" tint="0.249977111117893"/>
      <name val="Arial"/>
      <family val="2"/>
    </font>
    <font>
      <sz val="12"/>
      <color theme="0"/>
      <name val="Arial"/>
      <family val="2"/>
    </font>
    <font>
      <i/>
      <sz val="11"/>
      <color theme="1" tint="0.249977111117893"/>
      <name val="Arial"/>
      <family val="2"/>
    </font>
    <font>
      <sz val="14"/>
      <color theme="1"/>
      <name val="Arial"/>
      <family val="2"/>
    </font>
    <font>
      <b/>
      <sz val="11"/>
      <color theme="0"/>
      <name val="Arial"/>
      <family val="2"/>
    </font>
    <font>
      <sz val="11"/>
      <color theme="0"/>
      <name val="Arial"/>
      <family val="2"/>
    </font>
    <font>
      <sz val="11"/>
      <color theme="1" tint="0.34998626667073579"/>
      <name val="Arial"/>
      <family val="2"/>
    </font>
    <font>
      <sz val="11"/>
      <color theme="1" tint="0.34998626667073579"/>
      <name val="Aptos Display"/>
      <family val="2"/>
      <scheme val="major"/>
    </font>
    <font>
      <b/>
      <sz val="11"/>
      <color theme="1" tint="0.34998626667073579"/>
      <name val="Arial"/>
      <family val="2"/>
    </font>
    <font>
      <i/>
      <sz val="11"/>
      <color theme="1" tint="0.34998626667073579"/>
      <name val="Arial"/>
      <family val="2"/>
    </font>
    <font>
      <b/>
      <i/>
      <sz val="11"/>
      <color theme="1" tint="0.34998626667073579"/>
      <name val="Arial"/>
      <family val="2"/>
    </font>
    <font>
      <sz val="16"/>
      <color rgb="FFEC3957"/>
      <name val="Arial"/>
      <family val="2"/>
    </font>
    <font>
      <sz val="10"/>
      <color theme="1"/>
      <name val="Arial"/>
      <family val="2"/>
    </font>
    <font>
      <b/>
      <sz val="11"/>
      <color theme="1" tint="0.34998626667073579"/>
      <name val="Aptos Display"/>
      <family val="2"/>
      <scheme val="major"/>
    </font>
    <font>
      <sz val="11"/>
      <color rgb="FF85D1FF"/>
      <name val="Arial"/>
      <family val="2"/>
    </font>
    <font>
      <sz val="11"/>
      <color rgb="FF26ACAF"/>
      <name val="Arial"/>
      <family val="2"/>
    </font>
    <font>
      <sz val="10"/>
      <color theme="1" tint="0.34998626667073579"/>
      <name val="Aptos Display"/>
      <family val="2"/>
      <scheme val="major"/>
    </font>
    <font>
      <b/>
      <sz val="10"/>
      <color theme="1" tint="0.34998626667073579"/>
      <name val="Aptos Display"/>
      <family val="2"/>
      <scheme val="major"/>
    </font>
    <font>
      <sz val="16"/>
      <color rgb="FF1FD7A5"/>
      <name val="Arial"/>
      <family val="2"/>
    </font>
  </fonts>
  <fills count="22">
    <fill>
      <patternFill patternType="none"/>
    </fill>
    <fill>
      <patternFill patternType="gray125"/>
    </fill>
    <fill>
      <patternFill patternType="solid">
        <fgColor theme="0" tint="-4.9989318521683403E-2"/>
        <bgColor indexed="64"/>
      </patternFill>
    </fill>
    <fill>
      <patternFill patternType="solid">
        <fgColor rgb="FFCCECFF"/>
        <bgColor indexed="64"/>
      </patternFill>
    </fill>
    <fill>
      <patternFill patternType="lightDown">
        <fgColor rgb="FFCCECFF"/>
      </patternFill>
    </fill>
    <fill>
      <patternFill patternType="solid">
        <fgColor rgb="FFAB3DC4"/>
        <bgColor indexed="64"/>
      </patternFill>
    </fill>
    <fill>
      <patternFill patternType="solid">
        <fgColor rgb="FF821798"/>
        <bgColor indexed="64"/>
      </patternFill>
    </fill>
    <fill>
      <patternFill patternType="solid">
        <fgColor rgb="FF0CB1F1"/>
        <bgColor indexed="64"/>
      </patternFill>
    </fill>
    <fill>
      <patternFill patternType="solid">
        <fgColor rgb="FF0A9ECD"/>
        <bgColor indexed="64"/>
      </patternFill>
    </fill>
    <fill>
      <patternFill patternType="solid">
        <fgColor rgb="FF14BC89"/>
        <bgColor indexed="64"/>
      </patternFill>
    </fill>
    <fill>
      <patternFill patternType="solid">
        <fgColor rgb="FF1FD7A5"/>
        <bgColor indexed="64"/>
      </patternFill>
    </fill>
    <fill>
      <patternFill patternType="solid">
        <fgColor rgb="FFFEB81A"/>
        <bgColor indexed="64"/>
      </patternFill>
    </fill>
    <fill>
      <patternFill patternType="solid">
        <fgColor rgb="FFFF9614"/>
        <bgColor indexed="64"/>
      </patternFill>
    </fill>
    <fill>
      <patternFill patternType="solid">
        <fgColor rgb="FFEC3957"/>
        <bgColor indexed="64"/>
      </patternFill>
    </fill>
    <fill>
      <patternFill patternType="solid">
        <fgColor rgb="FFCF1D3F"/>
        <bgColor indexed="64"/>
      </patternFill>
    </fill>
    <fill>
      <patternFill patternType="solid">
        <fgColor rgb="FFF88032"/>
        <bgColor indexed="64"/>
      </patternFill>
    </fill>
    <fill>
      <patternFill patternType="solid">
        <fgColor rgb="FF0186EB"/>
        <bgColor indexed="64"/>
      </patternFill>
    </fill>
    <fill>
      <patternFill patternType="solid">
        <fgColor rgb="FF33CAC8"/>
        <bgColor indexed="64"/>
      </patternFill>
    </fill>
    <fill>
      <patternFill patternType="solid">
        <fgColor rgb="FFF8BC2F"/>
        <bgColor indexed="64"/>
      </patternFill>
    </fill>
    <fill>
      <patternFill patternType="solid">
        <fgColor rgb="FF85D1FF"/>
        <bgColor indexed="64"/>
      </patternFill>
    </fill>
    <fill>
      <patternFill patternType="solid">
        <fgColor rgb="FF26ACAF"/>
        <bgColor indexed="64"/>
      </patternFill>
    </fill>
    <fill>
      <patternFill patternType="solid">
        <fgColor theme="0"/>
        <bgColor indexed="64"/>
      </patternFill>
    </fill>
  </fills>
  <borders count="10">
    <border>
      <left/>
      <right/>
      <top/>
      <bottom/>
      <diagonal/>
    </border>
    <border>
      <left/>
      <right/>
      <top/>
      <bottom style="thin">
        <color theme="1" tint="0.34998626667073579"/>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right/>
      <top style="thin">
        <color theme="0"/>
      </top>
      <bottom/>
      <diagonal/>
    </border>
    <border>
      <left style="thin">
        <color theme="0"/>
      </left>
      <right/>
      <top style="thin">
        <color theme="0"/>
      </top>
      <bottom style="thin">
        <color theme="0"/>
      </bottom>
      <diagonal/>
    </border>
    <border>
      <left style="thin">
        <color rgb="FF3CBAA2"/>
      </left>
      <right/>
      <top style="thin">
        <color rgb="FF3CBAA2"/>
      </top>
      <bottom style="thin">
        <color rgb="FF3CBAA2"/>
      </bottom>
      <diagonal/>
    </border>
    <border>
      <left/>
      <right style="thin">
        <color rgb="FF3CBAA2"/>
      </right>
      <top style="thin">
        <color rgb="FF3CBAA2"/>
      </top>
      <bottom style="thin">
        <color rgb="FF3CBAA2"/>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31">
    <xf numFmtId="0" fontId="0" fillId="0" borderId="0" xfId="0"/>
    <xf numFmtId="0" fontId="3" fillId="0" borderId="0" xfId="0" applyFont="1" applyAlignment="1">
      <alignment horizontal="center" vertical="center"/>
    </xf>
    <xf numFmtId="0" fontId="4" fillId="0" borderId="0" xfId="0" applyFont="1" applyAlignment="1">
      <alignment horizontal="left" vertical="center" indent="1"/>
    </xf>
    <xf numFmtId="165" fontId="4" fillId="0" borderId="0" xfId="0" applyNumberFormat="1" applyFont="1" applyAlignment="1">
      <alignment horizontal="right" vertical="center" indent="1"/>
    </xf>
    <xf numFmtId="0" fontId="5" fillId="0" borderId="0" xfId="0" applyFont="1" applyAlignment="1">
      <alignment horizontal="center" vertical="center"/>
    </xf>
    <xf numFmtId="0" fontId="2" fillId="2" borderId="0" xfId="0" applyFont="1" applyFill="1" applyAlignment="1">
      <alignment horizontal="left" vertical="center" indent="1"/>
    </xf>
    <xf numFmtId="0" fontId="2" fillId="2" borderId="0" xfId="0" applyFont="1" applyFill="1" applyAlignment="1">
      <alignment horizontal="right" vertical="center" indent="1"/>
    </xf>
    <xf numFmtId="165" fontId="6" fillId="0" borderId="0" xfId="0" applyNumberFormat="1" applyFont="1" applyAlignment="1">
      <alignment horizontal="right" vertical="center" indent="1"/>
    </xf>
    <xf numFmtId="0" fontId="8" fillId="0" borderId="1" xfId="0" applyFont="1" applyBorder="1" applyAlignment="1">
      <alignment horizontal="left" vertical="center" indent="1"/>
    </xf>
    <xf numFmtId="0" fontId="9" fillId="0" borderId="1" xfId="0" applyFont="1" applyBorder="1" applyAlignment="1">
      <alignment horizontal="left" vertical="center" indent="1"/>
    </xf>
    <xf numFmtId="0" fontId="10" fillId="0" borderId="1" xfId="0" applyFont="1" applyBorder="1" applyAlignment="1">
      <alignment horizontal="left" vertical="center" indent="1"/>
    </xf>
    <xf numFmtId="0" fontId="11" fillId="0" borderId="1" xfId="0" applyFont="1" applyBorder="1" applyAlignment="1">
      <alignment horizontal="left" vertical="center" indent="1"/>
    </xf>
    <xf numFmtId="0" fontId="12" fillId="0" borderId="0" xfId="0" applyFont="1" applyAlignment="1">
      <alignment horizontal="center" vertical="center"/>
    </xf>
    <xf numFmtId="0" fontId="14" fillId="2" borderId="0" xfId="0" applyFont="1" applyFill="1" applyAlignment="1">
      <alignment horizontal="left" indent="1"/>
    </xf>
    <xf numFmtId="0" fontId="12" fillId="2" borderId="0" xfId="0" applyFont="1" applyFill="1" applyAlignment="1">
      <alignment horizontal="center" vertical="center"/>
    </xf>
    <xf numFmtId="14" fontId="12" fillId="0" borderId="0" xfId="0" applyNumberFormat="1" applyFont="1" applyAlignment="1">
      <alignment horizontal="center" vertical="center"/>
    </xf>
    <xf numFmtId="0" fontId="15" fillId="0" borderId="0" xfId="0" applyFont="1" applyAlignment="1">
      <alignment horizontal="left" vertical="center" indent="1"/>
    </xf>
    <xf numFmtId="0" fontId="16" fillId="0" borderId="1" xfId="0" applyFont="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left" vertical="center" indent="1"/>
    </xf>
    <xf numFmtId="165" fontId="17" fillId="0" borderId="0" xfId="0" applyNumberFormat="1" applyFont="1" applyAlignment="1">
      <alignment horizontal="right" vertical="center" indent="1"/>
    </xf>
    <xf numFmtId="0" fontId="7" fillId="0" borderId="0" xfId="0" applyFont="1" applyAlignment="1">
      <alignment horizontal="center" vertical="center"/>
    </xf>
    <xf numFmtId="164" fontId="12" fillId="0" borderId="0" xfId="1" applyFont="1" applyAlignment="1">
      <alignment horizontal="center" vertical="center"/>
    </xf>
    <xf numFmtId="0" fontId="18" fillId="0" borderId="1" xfId="0" applyFont="1" applyBorder="1" applyAlignment="1">
      <alignment horizontal="left" vertical="center" indent="1"/>
    </xf>
    <xf numFmtId="14" fontId="12" fillId="2" borderId="0" xfId="0" applyNumberFormat="1" applyFont="1" applyFill="1" applyAlignment="1">
      <alignment horizontal="center" vertical="center"/>
    </xf>
    <xf numFmtId="0" fontId="19" fillId="2" borderId="0" xfId="0" applyFont="1" applyFill="1" applyAlignment="1">
      <alignment horizontal="center" vertical="center"/>
    </xf>
    <xf numFmtId="14" fontId="21" fillId="0" borderId="0" xfId="0" applyNumberFormat="1" applyFont="1" applyAlignment="1">
      <alignment horizontal="center" vertical="center"/>
    </xf>
    <xf numFmtId="0" fontId="21" fillId="0" borderId="0" xfId="0" applyFont="1" applyAlignment="1">
      <alignment horizontal="left" vertical="center" indent="1"/>
    </xf>
    <xf numFmtId="0" fontId="22" fillId="0" borderId="0" xfId="0" applyFont="1" applyAlignment="1">
      <alignment horizontal="left" vertical="center" indent="1"/>
    </xf>
    <xf numFmtId="0" fontId="21" fillId="0" borderId="0" xfId="0" applyFont="1" applyAlignment="1">
      <alignment horizontal="center" vertical="center"/>
    </xf>
    <xf numFmtId="0" fontId="21" fillId="3" borderId="0" xfId="0" applyFont="1" applyFill="1" applyAlignment="1">
      <alignment horizontal="center" vertical="center"/>
    </xf>
    <xf numFmtId="0" fontId="22" fillId="0" borderId="0" xfId="0" applyFont="1" applyAlignment="1">
      <alignment horizontal="right" vertical="center" indent="1"/>
    </xf>
    <xf numFmtId="0" fontId="23" fillId="5" borderId="2" xfId="0" applyFont="1" applyFill="1" applyBorder="1" applyAlignment="1">
      <alignment horizontal="center" vertical="center"/>
    </xf>
    <xf numFmtId="0" fontId="23" fillId="6" borderId="2" xfId="0" applyFont="1" applyFill="1" applyBorder="1" applyAlignment="1">
      <alignment horizontal="center" vertical="center"/>
    </xf>
    <xf numFmtId="0" fontId="23" fillId="7" borderId="2" xfId="0" applyFont="1" applyFill="1" applyBorder="1" applyAlignment="1">
      <alignment horizontal="center" vertical="center"/>
    </xf>
    <xf numFmtId="0" fontId="23" fillId="8" borderId="2" xfId="0" applyFont="1" applyFill="1" applyBorder="1" applyAlignment="1">
      <alignment horizontal="center" vertical="center"/>
    </xf>
    <xf numFmtId="0" fontId="21" fillId="0" borderId="2" xfId="0" applyFont="1" applyBorder="1" applyAlignment="1">
      <alignment horizontal="center" vertical="center"/>
    </xf>
    <xf numFmtId="0" fontId="23" fillId="10" borderId="2" xfId="0" applyFont="1" applyFill="1" applyBorder="1" applyAlignment="1">
      <alignment horizontal="center" vertical="center"/>
    </xf>
    <xf numFmtId="0" fontId="23" fillId="9" borderId="2" xfId="0" applyFont="1" applyFill="1" applyBorder="1" applyAlignment="1">
      <alignment horizontal="center" vertical="center"/>
    </xf>
    <xf numFmtId="0" fontId="23" fillId="11" borderId="2" xfId="0" applyFont="1" applyFill="1" applyBorder="1" applyAlignment="1">
      <alignment horizontal="center" vertical="center"/>
    </xf>
    <xf numFmtId="0" fontId="23" fillId="12" borderId="2" xfId="0" applyFont="1" applyFill="1" applyBorder="1" applyAlignment="1">
      <alignment horizontal="center" vertical="center"/>
    </xf>
    <xf numFmtId="0" fontId="23" fillId="13"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3" fillId="17" borderId="2" xfId="0" applyFont="1" applyFill="1" applyBorder="1" applyAlignment="1">
      <alignment horizontal="center" vertical="center"/>
    </xf>
    <xf numFmtId="0" fontId="23" fillId="18" borderId="0" xfId="0" applyFont="1" applyFill="1" applyAlignment="1">
      <alignment horizontal="center" vertical="center"/>
    </xf>
    <xf numFmtId="0" fontId="21" fillId="19" borderId="0" xfId="0" applyFont="1" applyFill="1" applyAlignment="1">
      <alignment horizontal="center" vertical="center"/>
    </xf>
    <xf numFmtId="0" fontId="12" fillId="13" borderId="0" xfId="0" applyFont="1" applyFill="1" applyAlignment="1">
      <alignment horizontal="center" vertical="center"/>
    </xf>
    <xf numFmtId="0" fontId="25" fillId="0" borderId="0" xfId="0" applyFont="1" applyAlignment="1">
      <alignment horizontal="left" vertical="center" indent="1"/>
    </xf>
    <xf numFmtId="0" fontId="25" fillId="0" borderId="0" xfId="0" applyFont="1" applyAlignment="1">
      <alignment horizontal="center" vertical="center"/>
    </xf>
    <xf numFmtId="0" fontId="0" fillId="4" borderId="0" xfId="0" applyFill="1" applyAlignment="1">
      <alignment horizontal="center" vertical="center"/>
    </xf>
    <xf numFmtId="0" fontId="7" fillId="0" borderId="0" xfId="0" applyFont="1" applyAlignment="1">
      <alignment horizontal="left" vertical="center" indent="1"/>
    </xf>
    <xf numFmtId="165" fontId="7" fillId="0" borderId="0" xfId="0" applyNumberFormat="1" applyFont="1" applyAlignment="1">
      <alignment horizontal="right" vertical="center" indent="1"/>
    </xf>
    <xf numFmtId="0" fontId="29" fillId="0" borderId="0" xfId="0" applyFont="1" applyAlignment="1">
      <alignment horizontal="center" vertical="center"/>
    </xf>
    <xf numFmtId="0" fontId="29" fillId="0" borderId="0" xfId="0" applyFont="1" applyAlignment="1">
      <alignment horizontal="left" vertical="center" indent="1"/>
    </xf>
    <xf numFmtId="166" fontId="29" fillId="0" borderId="0" xfId="1" applyNumberFormat="1" applyFont="1" applyBorder="1" applyAlignment="1">
      <alignment horizontal="center" vertical="center"/>
    </xf>
    <xf numFmtId="164" fontId="29" fillId="0" borderId="0" xfId="1" applyFont="1" applyBorder="1" applyAlignment="1">
      <alignment horizontal="center" vertical="center"/>
    </xf>
    <xf numFmtId="14" fontId="28" fillId="0" borderId="0" xfId="0" applyNumberFormat="1" applyFont="1" applyAlignment="1">
      <alignment horizontal="center" vertical="center"/>
    </xf>
    <xf numFmtId="0" fontId="26" fillId="10" borderId="0" xfId="0" applyFont="1" applyFill="1" applyAlignment="1">
      <alignment horizontal="center" vertical="center"/>
    </xf>
    <xf numFmtId="0" fontId="26" fillId="10" borderId="4" xfId="0" applyFont="1" applyFill="1" applyBorder="1" applyAlignment="1">
      <alignment horizontal="center" vertical="center"/>
    </xf>
    <xf numFmtId="0" fontId="26" fillId="10" borderId="5" xfId="0" applyFont="1" applyFill="1" applyBorder="1" applyAlignment="1">
      <alignment horizontal="center" vertical="center"/>
    </xf>
    <xf numFmtId="14" fontId="28" fillId="0" borderId="6" xfId="0" applyNumberFormat="1" applyFont="1" applyBorder="1" applyAlignment="1">
      <alignment horizontal="center" vertical="center"/>
    </xf>
    <xf numFmtId="14" fontId="28" fillId="0" borderId="4" xfId="0" applyNumberFormat="1" applyFont="1" applyBorder="1" applyAlignment="1">
      <alignment horizontal="center" vertical="center"/>
    </xf>
    <xf numFmtId="14" fontId="28" fillId="2" borderId="7" xfId="0" applyNumberFormat="1" applyFont="1" applyFill="1" applyBorder="1" applyAlignment="1">
      <alignment horizontal="center" vertical="center"/>
    </xf>
    <xf numFmtId="14" fontId="28" fillId="2" borderId="2" xfId="0" applyNumberFormat="1" applyFont="1" applyFill="1" applyBorder="1" applyAlignment="1">
      <alignment horizontal="center" vertical="center"/>
    </xf>
    <xf numFmtId="0" fontId="28" fillId="0" borderId="0" xfId="0" applyFont="1" applyAlignment="1">
      <alignment vertical="center"/>
    </xf>
    <xf numFmtId="0" fontId="31" fillId="0" borderId="0" xfId="0" applyFont="1" applyAlignment="1">
      <alignment vertical="center"/>
    </xf>
    <xf numFmtId="0" fontId="31" fillId="0" borderId="0" xfId="0" applyFont="1" applyAlignment="1">
      <alignment horizontal="left" vertical="center"/>
    </xf>
    <xf numFmtId="0" fontId="31" fillId="0" borderId="0" xfId="0" applyFont="1" applyAlignment="1">
      <alignment horizontal="center" vertical="center"/>
    </xf>
    <xf numFmtId="0" fontId="28" fillId="0" borderId="0" xfId="0" pivotButton="1" applyFont="1" applyAlignment="1">
      <alignment vertical="center"/>
    </xf>
    <xf numFmtId="0" fontId="28" fillId="0" borderId="0" xfId="0" applyFont="1" applyAlignment="1">
      <alignment horizontal="center" vertical="center"/>
    </xf>
    <xf numFmtId="165" fontId="28" fillId="0" borderId="0" xfId="0" applyNumberFormat="1" applyFont="1" applyAlignment="1">
      <alignment vertical="center"/>
    </xf>
    <xf numFmtId="165" fontId="28" fillId="0" borderId="0" xfId="0" applyNumberFormat="1" applyFont="1" applyAlignment="1">
      <alignment horizontal="right" vertical="center" indent="1"/>
    </xf>
    <xf numFmtId="166" fontId="28" fillId="0" borderId="0" xfId="1" applyNumberFormat="1" applyFont="1" applyAlignment="1">
      <alignment vertical="center"/>
    </xf>
    <xf numFmtId="0" fontId="27" fillId="0" borderId="0" xfId="0" applyFont="1" applyAlignment="1">
      <alignment horizontal="center" vertical="center"/>
    </xf>
    <xf numFmtId="165" fontId="27" fillId="0" borderId="0" xfId="0" applyNumberFormat="1" applyFont="1" applyAlignment="1">
      <alignment horizontal="center" vertical="center"/>
    </xf>
    <xf numFmtId="0" fontId="32" fillId="0" borderId="0" xfId="0" applyFont="1" applyAlignment="1">
      <alignment horizontal="center" vertical="center"/>
    </xf>
    <xf numFmtId="0" fontId="30" fillId="0" borderId="2" xfId="0" applyFont="1" applyBorder="1" applyAlignment="1">
      <alignment vertical="center"/>
    </xf>
    <xf numFmtId="0" fontId="30" fillId="2" borderId="2" xfId="0" applyFont="1" applyFill="1" applyBorder="1" applyAlignment="1">
      <alignment vertical="center"/>
    </xf>
    <xf numFmtId="167" fontId="30" fillId="0" borderId="0" xfId="0" applyNumberFormat="1" applyFont="1" applyAlignment="1">
      <alignment horizontal="center" vertical="center"/>
    </xf>
    <xf numFmtId="0" fontId="30" fillId="0" borderId="0" xfId="0" applyFont="1" applyAlignment="1">
      <alignment horizontal="left" vertical="center" indent="1"/>
    </xf>
    <xf numFmtId="0" fontId="30" fillId="0" borderId="0" xfId="0" applyFont="1" applyAlignment="1">
      <alignment horizontal="left" vertical="center"/>
    </xf>
    <xf numFmtId="0" fontId="12" fillId="10" borderId="0" xfId="0" applyFont="1" applyFill="1" applyAlignment="1">
      <alignment horizontal="center" vertical="center"/>
    </xf>
    <xf numFmtId="0" fontId="13" fillId="10" borderId="0" xfId="0" applyFont="1" applyFill="1" applyAlignment="1">
      <alignment horizontal="center" vertical="center"/>
    </xf>
    <xf numFmtId="165" fontId="15" fillId="0" borderId="0" xfId="1" applyNumberFormat="1" applyFont="1" applyAlignment="1">
      <alignment horizontal="right" vertical="center" indent="1"/>
    </xf>
    <xf numFmtId="0" fontId="13" fillId="13" borderId="0" xfId="0" applyFont="1" applyFill="1" applyAlignment="1">
      <alignment horizontal="center" vertical="center"/>
    </xf>
    <xf numFmtId="0" fontId="33" fillId="2" borderId="0" xfId="0" applyFont="1" applyFill="1" applyAlignment="1">
      <alignment horizontal="left" vertical="top" indent="1"/>
    </xf>
    <xf numFmtId="165" fontId="22" fillId="0" borderId="0" xfId="1" applyNumberFormat="1" applyFont="1" applyAlignment="1">
      <alignment horizontal="right" vertical="center" indent="1"/>
    </xf>
    <xf numFmtId="0" fontId="26" fillId="10" borderId="2" xfId="0" applyFont="1" applyFill="1" applyBorder="1" applyAlignment="1">
      <alignment horizontal="center" vertical="center"/>
    </xf>
    <xf numFmtId="14" fontId="26" fillId="10" borderId="2" xfId="0" applyNumberFormat="1" applyFont="1" applyFill="1" applyBorder="1" applyAlignment="1">
      <alignment horizontal="center" vertical="center"/>
    </xf>
    <xf numFmtId="166" fontId="26" fillId="10" borderId="2" xfId="1" applyNumberFormat="1" applyFont="1" applyFill="1" applyBorder="1" applyAlignment="1">
      <alignment horizontal="center" vertical="center"/>
    </xf>
    <xf numFmtId="166" fontId="30" fillId="0" borderId="0" xfId="1" applyNumberFormat="1" applyFont="1" applyAlignment="1">
      <alignment vertical="center"/>
    </xf>
    <xf numFmtId="14" fontId="28" fillId="2" borderId="0" xfId="0" applyNumberFormat="1" applyFont="1" applyFill="1" applyAlignment="1">
      <alignment horizontal="center" vertical="center"/>
    </xf>
    <xf numFmtId="0" fontId="28" fillId="2" borderId="0" xfId="0" applyFont="1" applyFill="1" applyAlignment="1">
      <alignment vertical="center"/>
    </xf>
    <xf numFmtId="166" fontId="30" fillId="2" borderId="0" xfId="1" applyNumberFormat="1" applyFont="1" applyFill="1" applyAlignment="1">
      <alignment vertical="center"/>
    </xf>
    <xf numFmtId="0" fontId="24" fillId="0" borderId="0" xfId="0" applyFont="1" applyAlignment="1">
      <alignment vertical="center"/>
    </xf>
    <xf numFmtId="166" fontId="0" fillId="0" borderId="0" xfId="1" applyNumberFormat="1" applyFont="1"/>
    <xf numFmtId="168" fontId="28" fillId="0" borderId="0" xfId="0" applyNumberFormat="1" applyFont="1" applyAlignment="1">
      <alignment horizontal="center" vertical="center"/>
    </xf>
    <xf numFmtId="14" fontId="26" fillId="10" borderId="3" xfId="0" applyNumberFormat="1" applyFont="1" applyFill="1" applyBorder="1" applyAlignment="1">
      <alignment horizontal="center" vertical="center"/>
    </xf>
    <xf numFmtId="0" fontId="26" fillId="10" borderId="3" xfId="0" applyFont="1" applyFill="1" applyBorder="1" applyAlignment="1">
      <alignment horizontal="center" vertical="center"/>
    </xf>
    <xf numFmtId="166" fontId="28" fillId="0" borderId="0" xfId="1" applyNumberFormat="1" applyFont="1" applyAlignment="1">
      <alignment horizontal="right" vertical="center"/>
    </xf>
    <xf numFmtId="166" fontId="30" fillId="0" borderId="0" xfId="1" applyNumberFormat="1" applyFont="1" applyAlignment="1">
      <alignment horizontal="right" vertical="center"/>
    </xf>
    <xf numFmtId="165" fontId="28" fillId="0" borderId="2" xfId="0" applyNumberFormat="1" applyFont="1" applyBorder="1" applyAlignment="1">
      <alignment horizontal="right" vertical="center"/>
    </xf>
    <xf numFmtId="165" fontId="28" fillId="2" borderId="2" xfId="0" applyNumberFormat="1" applyFont="1" applyFill="1" applyBorder="1" applyAlignment="1">
      <alignment horizontal="right" vertical="center"/>
    </xf>
    <xf numFmtId="14" fontId="30" fillId="0" borderId="2" xfId="0" applyNumberFormat="1" applyFont="1" applyBorder="1" applyAlignment="1">
      <alignment horizontal="left" vertical="center" indent="1"/>
    </xf>
    <xf numFmtId="14" fontId="30" fillId="2" borderId="2" xfId="0" applyNumberFormat="1" applyFont="1" applyFill="1" applyBorder="1" applyAlignment="1">
      <alignment horizontal="left" vertical="center" indent="1"/>
    </xf>
    <xf numFmtId="0" fontId="23" fillId="20" borderId="0" xfId="0" applyFont="1" applyFill="1" applyAlignment="1">
      <alignment horizontal="center" vertical="center"/>
    </xf>
    <xf numFmtId="166" fontId="28" fillId="0" borderId="0" xfId="0" applyNumberFormat="1" applyFont="1" applyAlignment="1">
      <alignment vertical="center"/>
    </xf>
    <xf numFmtId="169" fontId="28" fillId="0" borderId="0" xfId="0" applyNumberFormat="1" applyFont="1" applyAlignment="1">
      <alignment vertical="center"/>
    </xf>
    <xf numFmtId="165" fontId="28" fillId="0" borderId="2" xfId="1" applyNumberFormat="1" applyFont="1" applyBorder="1" applyAlignment="1">
      <alignment vertical="center"/>
    </xf>
    <xf numFmtId="165" fontId="28" fillId="2" borderId="2" xfId="1" applyNumberFormat="1" applyFont="1" applyFill="1" applyBorder="1" applyAlignment="1">
      <alignment vertical="center"/>
    </xf>
    <xf numFmtId="169" fontId="28" fillId="0" borderId="2" xfId="0" applyNumberFormat="1" applyFont="1" applyBorder="1" applyAlignment="1">
      <alignment horizontal="center" vertical="center"/>
    </xf>
    <xf numFmtId="169" fontId="28" fillId="2" borderId="2" xfId="0" applyNumberFormat="1" applyFont="1" applyFill="1" applyBorder="1" applyAlignment="1">
      <alignment horizontal="center" vertical="center"/>
    </xf>
    <xf numFmtId="166" fontId="28" fillId="0" borderId="2" xfId="1" applyNumberFormat="1" applyFont="1" applyBorder="1" applyAlignment="1">
      <alignment vertical="center"/>
    </xf>
    <xf numFmtId="166" fontId="28" fillId="2" borderId="2" xfId="1" applyNumberFormat="1" applyFont="1" applyFill="1" applyBorder="1" applyAlignment="1">
      <alignment vertical="center"/>
    </xf>
    <xf numFmtId="168" fontId="31" fillId="0" borderId="0" xfId="0" applyNumberFormat="1" applyFont="1" applyAlignment="1">
      <alignment horizontal="left" vertical="center"/>
    </xf>
    <xf numFmtId="9" fontId="28" fillId="0" borderId="2" xfId="2" applyFont="1" applyBorder="1" applyAlignment="1">
      <alignment horizontal="center" vertical="center"/>
    </xf>
    <xf numFmtId="9" fontId="28" fillId="2" borderId="2" xfId="2" applyFont="1" applyFill="1" applyBorder="1" applyAlignment="1">
      <alignment horizontal="center" vertical="center"/>
    </xf>
    <xf numFmtId="165" fontId="28" fillId="21" borderId="2" xfId="0" applyNumberFormat="1" applyFont="1" applyFill="1" applyBorder="1" applyAlignment="1">
      <alignment horizontal="right" vertical="center"/>
    </xf>
    <xf numFmtId="0" fontId="34" fillId="4" borderId="0" xfId="0" applyFont="1" applyFill="1" applyAlignment="1">
      <alignment horizontal="center" vertical="center"/>
    </xf>
    <xf numFmtId="0" fontId="35" fillId="0" borderId="0" xfId="0" applyFont="1" applyAlignment="1">
      <alignment horizontal="center" vertical="center"/>
    </xf>
    <xf numFmtId="0" fontId="36" fillId="4" borderId="0" xfId="0" applyFont="1" applyFill="1" applyAlignment="1">
      <alignment horizontal="center" vertical="center"/>
    </xf>
    <xf numFmtId="0" fontId="37" fillId="4" borderId="0" xfId="0" applyFont="1" applyFill="1" applyAlignment="1">
      <alignment horizontal="center" vertical="center"/>
    </xf>
    <xf numFmtId="0" fontId="39" fillId="0" borderId="0" xfId="0" applyFont="1" applyAlignment="1">
      <alignment horizontal="center" vertical="center"/>
    </xf>
    <xf numFmtId="165" fontId="38" fillId="0" borderId="0" xfId="1" applyNumberFormat="1" applyFont="1" applyFill="1" applyBorder="1" applyAlignment="1">
      <alignment horizontal="center" vertical="center"/>
    </xf>
    <xf numFmtId="14" fontId="38" fillId="0" borderId="0" xfId="0" applyNumberFormat="1" applyFont="1" applyAlignment="1">
      <alignment horizontal="center" vertical="center"/>
    </xf>
    <xf numFmtId="0" fontId="30" fillId="4" borderId="0" xfId="0" applyFont="1" applyFill="1" applyAlignment="1">
      <alignment horizontal="right" vertical="top" indent="1"/>
    </xf>
    <xf numFmtId="0" fontId="40" fillId="2" borderId="0" xfId="0" applyFont="1" applyFill="1" applyAlignment="1">
      <alignment horizontal="left" vertical="top" indent="1"/>
    </xf>
    <xf numFmtId="0" fontId="35" fillId="4" borderId="8" xfId="0" applyFont="1" applyFill="1" applyBorder="1" applyAlignment="1">
      <alignment horizontal="center" vertical="center"/>
    </xf>
    <xf numFmtId="0" fontId="35" fillId="4" borderId="9" xfId="0" applyFont="1" applyFill="1" applyBorder="1" applyAlignment="1">
      <alignment horizontal="center" vertical="center"/>
    </xf>
  </cellXfs>
  <cellStyles count="3">
    <cellStyle name="Comma" xfId="1" builtinId="3"/>
    <cellStyle name="Normal" xfId="0" builtinId="0"/>
    <cellStyle name="Percent" xfId="2" builtinId="5"/>
  </cellStyles>
  <dxfs count="181">
    <dxf>
      <alignment vertical="center"/>
    </dxf>
    <dxf>
      <alignment vertical="center"/>
    </dxf>
    <dxf>
      <alignment vertical="center"/>
    </dxf>
    <dxf>
      <alignment vertical="center"/>
    </dxf>
    <dxf>
      <alignment vertical="center"/>
    </dxf>
    <dxf>
      <font>
        <color theme="1" tint="0.34998626667073579"/>
      </font>
    </dxf>
    <dxf>
      <font>
        <color theme="1" tint="0.34998626667073579"/>
      </font>
    </dxf>
    <dxf>
      <font>
        <color theme="1" tint="0.34998626667073579"/>
      </font>
    </dxf>
    <dxf>
      <font>
        <color theme="1" tint="0.34998626667073579"/>
      </font>
    </dxf>
    <dxf>
      <font>
        <color theme="1" tint="0.34998626667073579"/>
      </font>
    </dxf>
    <dxf>
      <font>
        <b/>
      </font>
    </dxf>
    <dxf>
      <alignment vertical="center"/>
    </dxf>
    <dxf>
      <alignment vertical="center"/>
    </dxf>
    <dxf>
      <alignment vertical="center"/>
    </dxf>
    <dxf>
      <alignment vertical="center"/>
    </dxf>
    <dxf>
      <alignment vertical="center"/>
    </dxf>
    <dxf>
      <font>
        <color theme="1" tint="0.34998626667073579"/>
      </font>
    </dxf>
    <dxf>
      <font>
        <color theme="1" tint="0.34998626667073579"/>
      </font>
    </dxf>
    <dxf>
      <font>
        <color theme="1" tint="0.34998626667073579"/>
      </font>
    </dxf>
    <dxf>
      <font>
        <color theme="1" tint="0.34998626667073579"/>
      </font>
    </dxf>
    <dxf>
      <font>
        <color theme="1" tint="0.34998626667073579"/>
      </font>
    </dxf>
    <dxf>
      <font>
        <b/>
      </font>
    </dxf>
    <dxf>
      <alignment vertical="center"/>
    </dxf>
    <dxf>
      <alignment vertical="center"/>
    </dxf>
    <dxf>
      <alignment vertical="center"/>
    </dxf>
    <dxf>
      <alignment vertical="center"/>
    </dxf>
    <dxf>
      <alignment vertical="center"/>
    </dxf>
    <dxf>
      <font>
        <color theme="1" tint="0.34998626667073579"/>
      </font>
    </dxf>
    <dxf>
      <font>
        <color theme="1" tint="0.34998626667073579"/>
      </font>
    </dxf>
    <dxf>
      <font>
        <color theme="1" tint="0.34998626667073579"/>
      </font>
    </dxf>
    <dxf>
      <font>
        <color theme="1" tint="0.34998626667073579"/>
      </font>
    </dxf>
    <dxf>
      <font>
        <color theme="1" tint="0.34998626667073579"/>
      </font>
    </dxf>
    <dxf>
      <font>
        <b/>
      </font>
    </dxf>
    <dxf>
      <alignment vertical="center"/>
    </dxf>
    <dxf>
      <alignment vertical="center"/>
    </dxf>
    <dxf>
      <alignment vertical="center"/>
    </dxf>
    <dxf>
      <alignment vertical="center"/>
    </dxf>
    <dxf>
      <alignment vertical="center"/>
    </dxf>
    <dxf>
      <font>
        <color theme="1" tint="0.34998626667073579"/>
      </font>
    </dxf>
    <dxf>
      <font>
        <color theme="1" tint="0.34998626667073579"/>
      </font>
    </dxf>
    <dxf>
      <font>
        <color theme="1" tint="0.34998626667073579"/>
      </font>
    </dxf>
    <dxf>
      <font>
        <color theme="1" tint="0.34998626667073579"/>
      </font>
    </dxf>
    <dxf>
      <font>
        <color theme="1" tint="0.34998626667073579"/>
      </font>
    </dxf>
    <dxf>
      <font>
        <b/>
      </font>
    </dxf>
    <dxf>
      <alignment vertical="center"/>
    </dxf>
    <dxf>
      <alignment vertical="center"/>
    </dxf>
    <dxf>
      <alignment vertical="center"/>
    </dxf>
    <dxf>
      <alignment vertical="center"/>
    </dxf>
    <dxf>
      <font>
        <color theme="1" tint="0.34998626667073579"/>
      </font>
    </dxf>
    <dxf>
      <font>
        <color theme="1" tint="0.34998626667073579"/>
      </font>
    </dxf>
    <dxf>
      <font>
        <color theme="1" tint="0.34998626667073579"/>
      </font>
    </dxf>
    <dxf>
      <numFmt numFmtId="169" formatCode="mm"/>
    </dxf>
    <dxf>
      <font>
        <b/>
        <color theme="0"/>
      </font>
      <fill>
        <patternFill patternType="solid">
          <fgColor indexed="64"/>
          <bgColor rgb="FF1FD7A5"/>
        </patternFill>
      </fill>
      <alignment horizontal="center"/>
    </dxf>
    <dxf>
      <font>
        <b/>
        <color theme="0"/>
      </font>
      <fill>
        <patternFill patternType="solid">
          <fgColor indexed="64"/>
          <bgColor rgb="FF1FD7A5"/>
        </patternFill>
      </fill>
      <alignment horizontal="center"/>
    </dxf>
    <dxf>
      <font>
        <b/>
        <color theme="0"/>
      </font>
      <fill>
        <patternFill patternType="solid">
          <fgColor indexed="64"/>
          <bgColor rgb="FF1FD7A5"/>
        </patternFill>
      </fill>
      <alignment horizontal="center"/>
    </dxf>
    <dxf>
      <alignment vertical="center"/>
    </dxf>
    <dxf>
      <alignment vertical="center"/>
    </dxf>
    <dxf>
      <alignment vertical="center"/>
    </dxf>
    <dxf>
      <alignment vertical="center"/>
    </dxf>
    <dxf>
      <alignment vertical="center"/>
    </dxf>
    <dxf>
      <font>
        <color theme="1" tint="0.34998626667073579"/>
      </font>
    </dxf>
    <dxf>
      <font>
        <color theme="1" tint="0.34998626667073579"/>
      </font>
    </dxf>
    <dxf>
      <font>
        <color theme="1" tint="0.34998626667073579"/>
      </font>
    </dxf>
    <dxf>
      <font>
        <color theme="1" tint="0.34998626667073579"/>
      </font>
    </dxf>
    <dxf>
      <font>
        <color theme="1" tint="0.34998626667073579"/>
      </font>
    </dxf>
    <dxf>
      <font>
        <b/>
      </font>
    </dxf>
    <dxf>
      <font>
        <color rgb="FF009FBD"/>
      </font>
    </dxf>
    <dxf>
      <font>
        <color rgb="FF1FD7A5"/>
      </font>
    </dxf>
    <dxf>
      <font>
        <color rgb="FF941358"/>
      </font>
    </dxf>
    <dxf>
      <font>
        <color rgb="FFDC2949"/>
      </font>
    </dxf>
    <dxf>
      <font>
        <strike val="0"/>
        <outline val="0"/>
        <shadow val="0"/>
        <u val="none"/>
        <vertAlign val="baseline"/>
        <sz val="14"/>
        <color theme="1"/>
        <name val="Arial"/>
        <family val="2"/>
        <scheme val="none"/>
      </font>
    </dxf>
    <dxf>
      <font>
        <strike val="0"/>
        <outline val="0"/>
        <shadow val="0"/>
        <u val="none"/>
        <vertAlign val="baseline"/>
        <sz val="14"/>
        <color theme="1"/>
        <name val="Arial"/>
        <family val="2"/>
        <scheme val="none"/>
      </font>
    </dxf>
    <dxf>
      <font>
        <strike val="0"/>
        <outline val="0"/>
        <shadow val="0"/>
        <u val="none"/>
        <vertAlign val="baseline"/>
        <sz val="14"/>
        <color theme="1"/>
        <name val="Arial"/>
        <family val="2"/>
        <scheme val="none"/>
      </font>
    </dxf>
    <dxf>
      <font>
        <strike val="0"/>
        <outline val="0"/>
        <shadow val="0"/>
        <u val="none"/>
        <vertAlign val="baseline"/>
        <sz val="14"/>
        <color theme="1"/>
        <name val="Arial"/>
        <family val="2"/>
        <scheme val="none"/>
      </font>
    </dxf>
    <dxf>
      <font>
        <strike val="0"/>
        <outline val="0"/>
        <shadow val="0"/>
        <u val="none"/>
        <vertAlign val="baseline"/>
        <sz val="14"/>
        <color theme="1"/>
        <name val="Arial"/>
        <family val="2"/>
        <scheme val="none"/>
      </font>
    </dxf>
    <dxf>
      <font>
        <strike val="0"/>
        <outline val="0"/>
        <shadow val="0"/>
        <u val="none"/>
        <vertAlign val="baseline"/>
        <sz val="14"/>
        <color theme="1"/>
        <name val="Arial"/>
        <family val="2"/>
        <scheme val="none"/>
      </font>
    </dxf>
    <dxf>
      <font>
        <b val="0"/>
        <i val="0"/>
        <strike val="0"/>
        <condense val="0"/>
        <extend val="0"/>
        <outline val="0"/>
        <shadow val="0"/>
        <u val="none"/>
        <vertAlign val="baseline"/>
        <sz val="14"/>
        <color theme="1" tint="0.34998626667073579"/>
        <name val="Aptos Display"/>
        <family val="2"/>
        <scheme val="major"/>
      </font>
      <numFmt numFmtId="165" formatCode="#,##0\ [$ đ]"/>
      <alignment horizontal="right" vertical="center" textRotation="0" wrapText="0" indent="1" justifyLastLine="0" shrinkToFit="0" readingOrder="0"/>
    </dxf>
    <dxf>
      <font>
        <b val="0"/>
        <i val="0"/>
        <strike val="0"/>
        <condense val="0"/>
        <extend val="0"/>
        <outline val="0"/>
        <shadow val="0"/>
        <u val="none"/>
        <vertAlign val="baseline"/>
        <sz val="12"/>
        <color rgb="FF941358"/>
        <name val="Aptos Display"/>
        <family val="2"/>
        <scheme val="major"/>
      </font>
      <numFmt numFmtId="165" formatCode="#,##0\ [$ đ]"/>
      <alignment horizontal="right" vertical="center" textRotation="0" wrapText="0" relativeIndent="1" justifyLastLine="0" shrinkToFit="0" readingOrder="0"/>
    </dxf>
    <dxf>
      <font>
        <b val="0"/>
        <i val="0"/>
        <strike val="0"/>
        <condense val="0"/>
        <extend val="0"/>
        <outline val="0"/>
        <shadow val="0"/>
        <u val="none"/>
        <vertAlign val="baseline"/>
        <sz val="14"/>
        <color theme="1" tint="0.34998626667073579"/>
        <name val="Aptos Display"/>
        <family val="2"/>
        <scheme val="major"/>
      </font>
      <alignment horizontal="left" vertical="center" textRotation="0" wrapText="0" indent="1" justifyLastLine="0" shrinkToFit="0" readingOrder="0"/>
    </dxf>
    <dxf>
      <font>
        <b val="0"/>
        <i val="0"/>
        <strike val="0"/>
        <condense val="0"/>
        <extend val="0"/>
        <outline val="0"/>
        <shadow val="0"/>
        <u val="none"/>
        <vertAlign val="baseline"/>
        <sz val="12"/>
        <color theme="1" tint="0.249977111117893"/>
        <name val="Aptos Display"/>
        <family val="2"/>
        <scheme val="major"/>
      </font>
      <alignment horizontal="left" vertical="center" textRotation="0" wrapText="0" indent="1" justifyLastLine="0" shrinkToFit="0" readingOrder="0"/>
    </dxf>
    <dxf>
      <font>
        <strike val="0"/>
        <outline val="0"/>
        <shadow val="0"/>
        <u val="none"/>
        <vertAlign val="baseline"/>
        <sz val="14"/>
        <color theme="1" tint="0.34998626667073579"/>
        <name val="Aptos Display"/>
        <family val="2"/>
        <scheme val="major"/>
      </font>
    </dxf>
    <dxf>
      <font>
        <strike val="0"/>
        <outline val="0"/>
        <shadow val="0"/>
        <u val="none"/>
        <vertAlign val="baseline"/>
        <sz val="12"/>
        <color theme="1" tint="0.249977111117893"/>
        <name val="Aptos Display"/>
        <family val="2"/>
        <scheme val="major"/>
      </font>
    </dxf>
    <dxf>
      <font>
        <strike val="0"/>
        <outline val="0"/>
        <shadow val="0"/>
        <u val="none"/>
        <vertAlign val="baseline"/>
        <sz val="14"/>
        <name val="Aptos Display"/>
        <family val="2"/>
        <scheme val="major"/>
      </font>
      <fill>
        <patternFill patternType="solid">
          <fgColor indexed="64"/>
          <bgColor theme="0" tint="-4.9989318521683403E-2"/>
        </patternFill>
      </fill>
    </dxf>
    <dxf>
      <font>
        <b val="0"/>
        <i val="0"/>
        <strike val="0"/>
        <condense val="0"/>
        <extend val="0"/>
        <outline val="0"/>
        <shadow val="0"/>
        <u val="none"/>
        <vertAlign val="baseline"/>
        <sz val="14"/>
        <color theme="1" tint="0.34998626667073579"/>
        <name val="Aptos Display"/>
        <family val="2"/>
        <scheme val="major"/>
      </font>
      <numFmt numFmtId="165" formatCode="#,##0\ [$ đ]"/>
      <alignment horizontal="right" vertical="center" textRotation="0" wrapText="0" indent="1" justifyLastLine="0" shrinkToFit="0" readingOrder="0"/>
    </dxf>
    <dxf>
      <font>
        <b val="0"/>
        <i val="0"/>
        <strike val="0"/>
        <condense val="0"/>
        <extend val="0"/>
        <outline val="0"/>
        <shadow val="0"/>
        <u val="none"/>
        <vertAlign val="baseline"/>
        <sz val="12"/>
        <color rgb="FF941358"/>
        <name val="Aptos Display"/>
        <family val="2"/>
        <scheme val="major"/>
      </font>
      <numFmt numFmtId="165" formatCode="#,##0\ [$ đ]"/>
      <alignment horizontal="right" vertical="center" textRotation="0" wrapText="0" relativeIndent="1" justifyLastLine="0" shrinkToFit="0" readingOrder="0"/>
    </dxf>
    <dxf>
      <font>
        <b val="0"/>
        <i val="0"/>
        <strike val="0"/>
        <condense val="0"/>
        <extend val="0"/>
        <outline val="0"/>
        <shadow val="0"/>
        <u val="none"/>
        <vertAlign val="baseline"/>
        <sz val="14"/>
        <color theme="1" tint="0.34998626667073579"/>
        <name val="Aptos Display"/>
        <family val="2"/>
        <scheme val="major"/>
      </font>
      <alignment horizontal="left" vertical="center" textRotation="0" wrapText="0" indent="1" justifyLastLine="0" shrinkToFit="0" readingOrder="0"/>
    </dxf>
    <dxf>
      <font>
        <b val="0"/>
        <i val="0"/>
        <strike val="0"/>
        <condense val="0"/>
        <extend val="0"/>
        <outline val="0"/>
        <shadow val="0"/>
        <u val="none"/>
        <vertAlign val="baseline"/>
        <sz val="12"/>
        <color theme="1" tint="0.249977111117893"/>
        <name val="Aptos Display"/>
        <family val="2"/>
        <scheme val="major"/>
      </font>
      <alignment horizontal="left" vertical="center" textRotation="0" wrapText="0" indent="1" justifyLastLine="0" shrinkToFit="0" readingOrder="0"/>
    </dxf>
    <dxf>
      <font>
        <strike val="0"/>
        <outline val="0"/>
        <shadow val="0"/>
        <u val="none"/>
        <vertAlign val="baseline"/>
        <sz val="14"/>
        <color theme="1" tint="0.34998626667073579"/>
        <name val="Aptos Display"/>
        <family val="2"/>
        <scheme val="major"/>
      </font>
    </dxf>
    <dxf>
      <font>
        <strike val="0"/>
        <outline val="0"/>
        <shadow val="0"/>
        <u val="none"/>
        <vertAlign val="baseline"/>
        <sz val="12"/>
        <color theme="1" tint="0.249977111117893"/>
        <name val="Aptos Display"/>
        <family val="2"/>
        <scheme val="major"/>
      </font>
    </dxf>
    <dxf>
      <font>
        <strike val="0"/>
        <outline val="0"/>
        <shadow val="0"/>
        <u val="none"/>
        <vertAlign val="baseline"/>
        <sz val="14"/>
        <name val="Aptos Display"/>
        <family val="2"/>
        <scheme val="major"/>
      </font>
      <fill>
        <patternFill patternType="solid">
          <fgColor indexed="64"/>
          <bgColor theme="0" tint="-4.9989318521683403E-2"/>
        </patternFill>
      </fill>
    </dxf>
    <dxf>
      <font>
        <b val="0"/>
        <i val="0"/>
        <strike val="0"/>
        <condense val="0"/>
        <extend val="0"/>
        <outline val="0"/>
        <shadow val="0"/>
        <u val="none"/>
        <vertAlign val="baseline"/>
        <sz val="14"/>
        <color theme="1" tint="0.34998626667073579"/>
        <name val="Aptos Display"/>
        <family val="2"/>
        <scheme val="major"/>
      </font>
      <numFmt numFmtId="165" formatCode="#,##0\ [$ đ]"/>
      <alignment horizontal="right" vertical="center" textRotation="0" wrapText="0" indent="1" justifyLastLine="0" shrinkToFit="0" readingOrder="0"/>
    </dxf>
    <dxf>
      <font>
        <b val="0"/>
        <i val="0"/>
        <strike val="0"/>
        <condense val="0"/>
        <extend val="0"/>
        <outline val="0"/>
        <shadow val="0"/>
        <u val="none"/>
        <vertAlign val="baseline"/>
        <sz val="12"/>
        <color rgb="FF941358"/>
        <name val="Aptos Display"/>
        <family val="2"/>
        <scheme val="major"/>
      </font>
      <numFmt numFmtId="165" formatCode="#,##0\ [$ đ]"/>
      <alignment horizontal="right" vertical="center" textRotation="0" wrapText="0" relativeIndent="1" justifyLastLine="0" shrinkToFit="0" readingOrder="0"/>
    </dxf>
    <dxf>
      <font>
        <b val="0"/>
        <i val="0"/>
        <strike val="0"/>
        <condense val="0"/>
        <extend val="0"/>
        <outline val="0"/>
        <shadow val="0"/>
        <u val="none"/>
        <vertAlign val="baseline"/>
        <sz val="14"/>
        <color theme="1" tint="0.34998626667073579"/>
        <name val="Aptos Display"/>
        <family val="2"/>
        <scheme val="major"/>
      </font>
      <alignment horizontal="left" vertical="center" textRotation="0" wrapText="0" indent="1" justifyLastLine="0" shrinkToFit="0" readingOrder="0"/>
    </dxf>
    <dxf>
      <font>
        <b val="0"/>
        <i val="0"/>
        <strike val="0"/>
        <condense val="0"/>
        <extend val="0"/>
        <outline val="0"/>
        <shadow val="0"/>
        <u val="none"/>
        <vertAlign val="baseline"/>
        <sz val="12"/>
        <color theme="1" tint="0.249977111117893"/>
        <name val="Aptos Display"/>
        <family val="2"/>
        <scheme val="major"/>
      </font>
      <alignment horizontal="left" vertical="center" textRotation="0" wrapText="0" indent="1" justifyLastLine="0" shrinkToFit="0" readingOrder="0"/>
    </dxf>
    <dxf>
      <font>
        <strike val="0"/>
        <outline val="0"/>
        <shadow val="0"/>
        <u val="none"/>
        <vertAlign val="baseline"/>
        <sz val="14"/>
        <color theme="1" tint="0.34998626667073579"/>
        <name val="Aptos Display"/>
        <family val="2"/>
        <scheme val="major"/>
      </font>
    </dxf>
    <dxf>
      <font>
        <strike val="0"/>
        <outline val="0"/>
        <shadow val="0"/>
        <u val="none"/>
        <vertAlign val="baseline"/>
        <sz val="12"/>
        <color theme="1" tint="0.249977111117893"/>
        <name val="Aptos Display"/>
        <family val="2"/>
        <scheme val="major"/>
      </font>
    </dxf>
    <dxf>
      <font>
        <strike val="0"/>
        <outline val="0"/>
        <shadow val="0"/>
        <u val="none"/>
        <vertAlign val="baseline"/>
        <sz val="14"/>
        <name val="Aptos Display"/>
        <family val="2"/>
        <scheme val="major"/>
      </font>
      <fill>
        <patternFill patternType="solid">
          <fgColor indexed="64"/>
          <bgColor theme="0" tint="-4.9989318521683403E-2"/>
        </patternFill>
      </fill>
    </dxf>
    <dxf>
      <font>
        <b val="0"/>
        <i val="0"/>
        <strike val="0"/>
        <condense val="0"/>
        <extend val="0"/>
        <outline val="0"/>
        <shadow val="0"/>
        <u val="none"/>
        <vertAlign val="baseline"/>
        <sz val="14"/>
        <color theme="1" tint="0.34998626667073579"/>
        <name val="Aptos Display"/>
        <family val="2"/>
        <scheme val="major"/>
      </font>
      <numFmt numFmtId="165" formatCode="#,##0\ [$ đ]"/>
      <alignment horizontal="right" vertical="center" textRotation="0" wrapText="0" indent="1" justifyLastLine="0" shrinkToFit="0" readingOrder="0"/>
    </dxf>
    <dxf>
      <font>
        <b val="0"/>
        <i val="0"/>
        <strike val="0"/>
        <condense val="0"/>
        <extend val="0"/>
        <outline val="0"/>
        <shadow val="0"/>
        <u val="none"/>
        <vertAlign val="baseline"/>
        <sz val="12"/>
        <color rgb="FF941358"/>
        <name val="Aptos Display"/>
        <family val="2"/>
        <scheme val="major"/>
      </font>
      <numFmt numFmtId="165" formatCode="#,##0\ [$ đ]"/>
      <alignment horizontal="right" vertical="center" textRotation="0" wrapText="0" relativeIndent="1" justifyLastLine="0" shrinkToFit="0" readingOrder="0"/>
    </dxf>
    <dxf>
      <font>
        <b val="0"/>
        <i val="0"/>
        <strike val="0"/>
        <condense val="0"/>
        <extend val="0"/>
        <outline val="0"/>
        <shadow val="0"/>
        <u val="none"/>
        <vertAlign val="baseline"/>
        <sz val="14"/>
        <color theme="1" tint="0.34998626667073579"/>
        <name val="Aptos Display"/>
        <family val="2"/>
        <scheme val="major"/>
      </font>
      <alignment horizontal="left" vertical="center" textRotation="0" wrapText="0" indent="1" justifyLastLine="0" shrinkToFit="0" readingOrder="0"/>
    </dxf>
    <dxf>
      <font>
        <b val="0"/>
        <i val="0"/>
        <strike val="0"/>
        <condense val="0"/>
        <extend val="0"/>
        <outline val="0"/>
        <shadow val="0"/>
        <u val="none"/>
        <vertAlign val="baseline"/>
        <sz val="12"/>
        <color theme="1" tint="0.249977111117893"/>
        <name val="Aptos Display"/>
        <family val="2"/>
        <scheme val="major"/>
      </font>
      <alignment horizontal="left" vertical="center" textRotation="0" wrapText="0" indent="1" justifyLastLine="0" shrinkToFit="0" readingOrder="0"/>
    </dxf>
    <dxf>
      <font>
        <strike val="0"/>
        <outline val="0"/>
        <shadow val="0"/>
        <u val="none"/>
        <vertAlign val="baseline"/>
        <sz val="14"/>
        <color theme="1" tint="0.34998626667073579"/>
        <name val="Aptos Display"/>
        <family val="2"/>
        <scheme val="major"/>
      </font>
    </dxf>
    <dxf>
      <font>
        <strike val="0"/>
        <outline val="0"/>
        <shadow val="0"/>
        <u val="none"/>
        <vertAlign val="baseline"/>
        <sz val="12"/>
        <color theme="1" tint="0.249977111117893"/>
        <name val="Aptos Display"/>
        <family val="2"/>
        <scheme val="major"/>
      </font>
    </dxf>
    <dxf>
      <font>
        <strike val="0"/>
        <outline val="0"/>
        <shadow val="0"/>
        <u val="none"/>
        <vertAlign val="baseline"/>
        <sz val="14"/>
        <name val="Aptos Display"/>
        <family val="2"/>
        <scheme val="major"/>
      </font>
      <fill>
        <patternFill patternType="solid">
          <fgColor indexed="64"/>
          <bgColor theme="0" tint="-4.9989318521683403E-2"/>
        </patternFill>
      </fill>
    </dxf>
    <dxf>
      <font>
        <b val="0"/>
        <i val="0"/>
        <strike val="0"/>
        <condense val="0"/>
        <extend val="0"/>
        <outline val="0"/>
        <shadow val="0"/>
        <u val="none"/>
        <vertAlign val="baseline"/>
        <sz val="14"/>
        <color theme="1" tint="0.34998626667073579"/>
        <name val="Aptos Display"/>
        <family val="2"/>
        <scheme val="major"/>
      </font>
      <numFmt numFmtId="165" formatCode="#,##0\ [$ đ]"/>
      <alignment horizontal="right" vertical="center" textRotation="0" wrapText="0" indent="1" justifyLastLine="0" shrinkToFit="0" readingOrder="0"/>
    </dxf>
    <dxf>
      <font>
        <b val="0"/>
        <i val="0"/>
        <strike val="0"/>
        <condense val="0"/>
        <extend val="0"/>
        <outline val="0"/>
        <shadow val="0"/>
        <u val="none"/>
        <vertAlign val="baseline"/>
        <sz val="12"/>
        <color rgb="FF941358"/>
        <name val="Aptos Display"/>
        <family val="2"/>
        <scheme val="major"/>
      </font>
      <numFmt numFmtId="165" formatCode="#,##0\ [$ đ]"/>
      <alignment horizontal="right" vertical="center" textRotation="0" wrapText="0" relativeIndent="1" justifyLastLine="0" shrinkToFit="0" readingOrder="0"/>
    </dxf>
    <dxf>
      <font>
        <b val="0"/>
        <i val="0"/>
        <strike val="0"/>
        <condense val="0"/>
        <extend val="0"/>
        <outline val="0"/>
        <shadow val="0"/>
        <u val="none"/>
        <vertAlign val="baseline"/>
        <sz val="14"/>
        <color theme="1" tint="0.34998626667073579"/>
        <name val="Aptos Display"/>
        <family val="2"/>
        <scheme val="major"/>
      </font>
      <alignment horizontal="left" vertical="center" textRotation="0" wrapText="0" indent="1" justifyLastLine="0" shrinkToFit="0" readingOrder="0"/>
    </dxf>
    <dxf>
      <font>
        <b/>
        <i val="0"/>
        <strike val="0"/>
        <condense val="0"/>
        <extend val="0"/>
        <outline val="0"/>
        <shadow val="0"/>
        <u val="none"/>
        <vertAlign val="baseline"/>
        <sz val="12"/>
        <color theme="1" tint="0.249977111117893"/>
        <name val="Aptos Display"/>
        <family val="2"/>
        <scheme val="major"/>
      </font>
      <alignment horizontal="left" vertical="center" textRotation="0" wrapText="0" indent="1" justifyLastLine="0" shrinkToFit="0" readingOrder="0"/>
    </dxf>
    <dxf>
      <font>
        <strike val="0"/>
        <outline val="0"/>
        <shadow val="0"/>
        <u val="none"/>
        <vertAlign val="baseline"/>
        <sz val="14"/>
        <color theme="1" tint="0.34998626667073579"/>
        <name val="Aptos Display"/>
        <family val="2"/>
        <scheme val="major"/>
      </font>
    </dxf>
    <dxf>
      <font>
        <strike val="0"/>
        <outline val="0"/>
        <shadow val="0"/>
        <u val="none"/>
        <vertAlign val="baseline"/>
        <sz val="12"/>
        <color theme="1" tint="0.249977111117893"/>
        <name val="Aptos Display"/>
        <family val="2"/>
        <scheme val="major"/>
      </font>
    </dxf>
    <dxf>
      <font>
        <strike val="0"/>
        <outline val="0"/>
        <shadow val="0"/>
        <u val="none"/>
        <vertAlign val="baseline"/>
        <sz val="14"/>
        <name val="Aptos Display"/>
        <family val="2"/>
        <scheme val="major"/>
      </font>
      <fill>
        <patternFill patternType="solid">
          <fgColor indexed="64"/>
          <bgColor theme="0" tint="-4.9989318521683403E-2"/>
        </patternFill>
      </fill>
    </dxf>
    <dxf>
      <font>
        <b/>
        <i val="0"/>
        <strike val="0"/>
        <condense val="0"/>
        <extend val="0"/>
        <outline val="0"/>
        <shadow val="0"/>
        <u val="none"/>
        <vertAlign val="baseline"/>
        <sz val="12"/>
        <color theme="1" tint="0.34998626667073579"/>
        <name val="Arial"/>
        <family val="2"/>
        <scheme val="none"/>
      </font>
      <numFmt numFmtId="165" formatCode="#,##0\ [$ đ]"/>
      <alignment horizontal="right" vertical="center" textRotation="0" wrapText="0" indent="1" justifyLastLine="0" shrinkToFit="0" readingOrder="0"/>
    </dxf>
    <dxf>
      <font>
        <b val="0"/>
        <i val="0"/>
        <strike val="0"/>
        <condense val="0"/>
        <extend val="0"/>
        <outline val="0"/>
        <shadow val="0"/>
        <u val="none"/>
        <vertAlign val="baseline"/>
        <sz val="12"/>
        <color theme="1" tint="0.249977111117893"/>
        <name val="Arial"/>
        <family val="2"/>
        <scheme val="none"/>
      </font>
      <alignment horizontal="left" vertical="center" textRotation="0" wrapText="0" relativeIndent="1" justifyLastLine="0" shrinkToFit="0" readingOrder="0"/>
    </dxf>
    <dxf>
      <font>
        <b/>
        <i val="0"/>
        <strike val="0"/>
        <condense val="0"/>
        <extend val="0"/>
        <outline val="0"/>
        <shadow val="0"/>
        <u val="none"/>
        <vertAlign val="baseline"/>
        <sz val="12"/>
        <color theme="1" tint="0.249977111117893"/>
        <name val="Arial"/>
        <family val="2"/>
        <scheme val="none"/>
      </font>
      <alignment horizontal="left" vertical="center" textRotation="0" wrapText="0" relativeIndent="1" justifyLastLine="0" shrinkToFit="0" readingOrder="0"/>
    </dxf>
    <dxf>
      <font>
        <b val="0"/>
        <i val="0"/>
        <strike val="0"/>
        <condense val="0"/>
        <extend val="0"/>
        <outline val="0"/>
        <shadow val="0"/>
        <u val="none"/>
        <vertAlign val="baseline"/>
        <sz val="12"/>
        <color theme="1" tint="0.249977111117893"/>
        <name val="Arial"/>
        <family val="2"/>
        <scheme val="none"/>
      </font>
      <numFmt numFmtId="170" formatCode="dd/mm/yyyy"/>
      <alignment horizontal="center" vertical="center"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rgb="FF1FD7A5"/>
        </patternFill>
      </fill>
      <alignment horizontal="center" vertical="center" textRotation="0" wrapText="0" indent="0" justifyLastLine="0" shrinkToFit="0" readingOrder="0"/>
    </dxf>
    <dxf>
      <font>
        <b/>
        <i val="0"/>
        <strike val="0"/>
        <condense val="0"/>
        <extend val="0"/>
        <outline val="0"/>
        <shadow val="0"/>
        <u val="none"/>
        <vertAlign val="baseline"/>
        <sz val="12"/>
        <color theme="1" tint="0.249977111117893"/>
        <name val="Arial"/>
        <family val="2"/>
        <scheme val="none"/>
      </font>
      <numFmt numFmtId="165" formatCode="#,##0\ [$ đ]"/>
      <alignment horizontal="right" vertical="center" textRotation="0" wrapText="0" indent="1" justifyLastLine="0" shrinkToFit="0" readingOrder="0"/>
    </dxf>
    <dxf>
      <font>
        <b val="0"/>
        <i val="0"/>
        <strike val="0"/>
        <condense val="0"/>
        <extend val="0"/>
        <outline val="0"/>
        <shadow val="0"/>
        <u val="none"/>
        <vertAlign val="baseline"/>
        <sz val="12"/>
        <color theme="1" tint="0.249977111117893"/>
        <name val="Arial"/>
        <family val="2"/>
        <scheme val="none"/>
      </font>
      <alignment horizontal="left" vertical="center" textRotation="0" wrapText="0" relativeIndent="1" justifyLastLine="0" shrinkToFit="0" readingOrder="0"/>
    </dxf>
    <dxf>
      <font>
        <b val="0"/>
        <i val="0"/>
        <strike val="0"/>
        <condense val="0"/>
        <extend val="0"/>
        <outline val="0"/>
        <shadow val="0"/>
        <u val="none"/>
        <vertAlign val="baseline"/>
        <sz val="12"/>
        <color theme="1" tint="0.249977111117893"/>
        <name val="Arial"/>
        <family val="2"/>
        <scheme val="none"/>
      </font>
      <alignment horizontal="left" vertical="center" textRotation="0" wrapText="0" relativeIndent="1" justifyLastLine="0" shrinkToFit="0" readingOrder="0"/>
    </dxf>
    <dxf>
      <font>
        <b/>
        <i val="0"/>
        <strike val="0"/>
        <condense val="0"/>
        <extend val="0"/>
        <outline val="0"/>
        <shadow val="0"/>
        <u val="none"/>
        <vertAlign val="baseline"/>
        <sz val="12"/>
        <color theme="1" tint="0.34998626667073579"/>
        <name val="Arial"/>
        <family val="2"/>
        <scheme val="none"/>
      </font>
      <alignment horizontal="left" vertical="center" textRotation="0" wrapText="0" relativeIndent="1" justifyLastLine="0" shrinkToFit="0" readingOrder="0"/>
    </dxf>
    <dxf>
      <font>
        <b val="0"/>
        <i val="0"/>
        <strike val="0"/>
        <condense val="0"/>
        <extend val="0"/>
        <outline val="0"/>
        <shadow val="0"/>
        <u val="none"/>
        <vertAlign val="baseline"/>
        <sz val="12"/>
        <color theme="1" tint="0.249977111117893"/>
        <name val="Arial"/>
        <family val="2"/>
        <scheme val="none"/>
      </font>
      <numFmt numFmtId="170"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rgb="FF941358"/>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numFmt numFmtId="166" formatCode="_-* #,##0_-;\-* #,##0_-;_-* &quot;-&quot;??_-;_-@_-"/>
      <alignment horizontal="general"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numFmt numFmtId="166" formatCode="_-* #,##0_-;\-* #,##0_-;_-* &quot;-&quot;??_-;_-@_-"/>
      <alignment horizontal="right"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numFmt numFmtId="168" formatCode="dd"/>
      <alignment horizontal="center" vertical="center" textRotation="0" wrapText="0" indent="0" justifyLastLine="0" shrinkToFit="0" readingOrder="0"/>
    </dxf>
    <dxf>
      <font>
        <b val="0"/>
        <i val="0"/>
        <strike val="0"/>
        <condense val="0"/>
        <extend val="0"/>
        <outline val="0"/>
        <shadow val="0"/>
        <u val="none"/>
        <vertAlign val="baseline"/>
        <sz val="11"/>
        <color theme="1" tint="0.34998626667073579"/>
        <name val="Arial"/>
        <family val="2"/>
        <scheme val="none"/>
      </font>
      <numFmt numFmtId="168" formatCode="dd"/>
      <alignment horizontal="center" vertical="center" textRotation="0" wrapText="0" indent="0" justifyLastLine="0" shrinkToFit="0" readingOrder="0"/>
    </dxf>
    <dxf>
      <border outline="0">
        <top style="thin">
          <color theme="0"/>
        </top>
      </border>
    </dxf>
    <dxf>
      <border outline="0">
        <bottom style="thin">
          <color theme="0"/>
        </bottom>
      </border>
    </dxf>
    <dxf>
      <font>
        <b/>
        <i val="0"/>
        <strike val="0"/>
        <condense val="0"/>
        <extend val="0"/>
        <outline val="0"/>
        <shadow val="0"/>
        <u val="none"/>
        <vertAlign val="baseline"/>
        <sz val="11"/>
        <color theme="0"/>
        <name val="Arial"/>
        <family val="2"/>
        <scheme val="none"/>
      </font>
      <fill>
        <patternFill patternType="solid">
          <fgColor indexed="64"/>
          <bgColor rgb="FF1FD7A5"/>
        </patternFill>
      </fill>
      <alignment horizontal="center" vertical="center" textRotation="0" wrapText="0" indent="0" justifyLastLine="0" shrinkToFit="0" readingOrder="0"/>
      <border diagonalUp="0" diagonalDown="0" outline="0">
        <left style="thin">
          <color theme="0"/>
        </left>
        <right style="thin">
          <color theme="0"/>
        </right>
        <top/>
        <bottom/>
      </border>
    </dxf>
    <dxf>
      <font>
        <strike val="0"/>
        <outline val="0"/>
        <shadow val="0"/>
        <u val="none"/>
        <vertAlign val="baseline"/>
        <sz val="11"/>
        <color theme="1" tint="0.34998626667073579"/>
        <name val="Arial"/>
        <family val="2"/>
        <scheme val="none"/>
      </font>
      <numFmt numFmtId="166" formatCode="_-* #,##0_-;\-* #,##0_-;_-* &quot;-&quot;??_-;_-@_-"/>
      <alignment horizontal="general" vertical="center" textRotation="0" wrapText="0" indent="0" justifyLastLine="0" shrinkToFit="0" readingOrder="0"/>
    </dxf>
    <dxf>
      <font>
        <strike val="0"/>
        <outline val="0"/>
        <shadow val="0"/>
        <u val="none"/>
        <vertAlign val="baseline"/>
        <sz val="11"/>
        <color theme="1" tint="0.34998626667073579"/>
        <name val="Arial"/>
        <family val="2"/>
        <scheme val="none"/>
      </font>
      <numFmt numFmtId="166" formatCode="_-* #,##0_-;\-* #,##0_-;_-* &quot;-&quot;??_-;_-@_-"/>
      <alignment horizontal="general" vertical="center" textRotation="0" wrapText="0" indent="0" justifyLastLine="0" shrinkToFit="0" readingOrder="0"/>
    </dxf>
    <dxf>
      <font>
        <b/>
        <strike val="0"/>
        <outline val="0"/>
        <shadow val="0"/>
        <u val="none"/>
        <vertAlign val="baseline"/>
        <sz val="11"/>
        <color theme="1" tint="0.34998626667073579"/>
        <name val="Arial"/>
        <family val="2"/>
        <scheme val="none"/>
      </font>
      <numFmt numFmtId="167" formatCode="mmm"/>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none"/>
      </font>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none"/>
      </font>
      <alignment horizontal="general" vertical="center" textRotation="0" wrapText="0" indent="0" justifyLastLine="0" shrinkToFit="0" readingOrder="0"/>
    </dxf>
    <dxf>
      <font>
        <strike val="0"/>
        <outline val="0"/>
        <shadow val="0"/>
        <u val="none"/>
        <vertAlign val="baseline"/>
        <sz val="11"/>
        <color theme="0"/>
        <name val="Arial"/>
        <family val="2"/>
        <scheme val="none"/>
      </font>
      <alignment horizontal="center" vertical="center" textRotation="0" wrapText="0" indent="0" justifyLastLine="0" shrinkToFit="0" readingOrder="0"/>
    </dxf>
    <dxf>
      <font>
        <strike val="0"/>
        <outline val="0"/>
        <shadow val="0"/>
        <u val="none"/>
        <vertAlign val="baseline"/>
        <sz val="11"/>
        <color theme="1" tint="0.34998626667073579"/>
        <name val="Arial"/>
        <family val="2"/>
        <scheme val="none"/>
      </font>
    </dxf>
    <dxf>
      <font>
        <b/>
        <strike val="0"/>
        <outline val="0"/>
        <shadow val="0"/>
        <u val="none"/>
        <vertAlign val="baseline"/>
        <sz val="11"/>
        <color theme="1" tint="0.34998626667073579"/>
        <name val="Arial"/>
        <family val="2"/>
        <scheme val="none"/>
      </font>
    </dxf>
    <dxf>
      <font>
        <strike val="0"/>
        <outline val="0"/>
        <shadow val="0"/>
        <u val="none"/>
        <vertAlign val="baseline"/>
        <sz val="11"/>
        <color theme="1" tint="0.34998626667073579"/>
        <name val="Arial"/>
        <family val="2"/>
        <scheme val="none"/>
      </font>
    </dxf>
    <dxf>
      <font>
        <strike val="0"/>
        <outline val="0"/>
        <shadow val="0"/>
        <u val="none"/>
        <vertAlign val="baseline"/>
        <sz val="11"/>
        <color theme="0"/>
        <name val="Arial"/>
        <family val="2"/>
        <scheme val="none"/>
      </font>
    </dxf>
    <dxf>
      <font>
        <b/>
      </font>
    </dxf>
    <dxf>
      <font>
        <color theme="1" tint="0.34998626667073579"/>
      </font>
    </dxf>
    <dxf>
      <font>
        <color theme="1" tint="0.34998626667073579"/>
      </font>
    </dxf>
    <dxf>
      <font>
        <color theme="1" tint="0.34998626667073579"/>
      </font>
    </dxf>
    <dxf>
      <font>
        <color theme="1" tint="0.34998626667073579"/>
      </font>
    </dxf>
    <dxf>
      <font>
        <color theme="1" tint="0.34998626667073579"/>
      </font>
    </dxf>
    <dxf>
      <alignment vertical="center"/>
    </dxf>
    <dxf>
      <alignment vertical="center"/>
    </dxf>
    <dxf>
      <alignment vertical="center"/>
    </dxf>
    <dxf>
      <alignment vertical="center"/>
    </dxf>
    <dxf>
      <alignment vertical="center"/>
    </dxf>
    <dxf>
      <font>
        <b/>
        <color theme="0"/>
      </font>
      <fill>
        <patternFill patternType="solid">
          <fgColor indexed="64"/>
          <bgColor rgb="FF1FD7A5"/>
        </patternFill>
      </fill>
      <alignment horizontal="center"/>
    </dxf>
    <dxf>
      <font>
        <b/>
        <color theme="0"/>
      </font>
      <fill>
        <patternFill patternType="solid">
          <fgColor indexed="64"/>
          <bgColor rgb="FF1FD7A5"/>
        </patternFill>
      </fill>
      <alignment horizontal="center"/>
    </dxf>
    <dxf>
      <font>
        <b/>
        <color theme="0"/>
      </font>
      <fill>
        <patternFill patternType="solid">
          <fgColor indexed="64"/>
          <bgColor rgb="FF1FD7A5"/>
        </patternFill>
      </fill>
      <alignment horizontal="center"/>
    </dxf>
    <dxf>
      <numFmt numFmtId="169" formatCode="mm"/>
    </dxf>
    <dxf>
      <font>
        <color theme="1" tint="0.34998626667073579"/>
      </font>
    </dxf>
    <dxf>
      <font>
        <color theme="1" tint="0.34998626667073579"/>
      </font>
    </dxf>
    <dxf>
      <font>
        <color theme="1" tint="0.34998626667073579"/>
      </font>
    </dxf>
    <dxf>
      <alignment vertical="center"/>
    </dxf>
    <dxf>
      <alignment vertical="center"/>
    </dxf>
    <dxf>
      <alignment vertical="center"/>
    </dxf>
    <dxf>
      <alignment vertical="center"/>
    </dxf>
    <dxf>
      <font>
        <strike val="0"/>
        <outline val="0"/>
        <shadow val="0"/>
        <u val="none"/>
        <vertAlign val="baseline"/>
        <sz val="10"/>
        <color theme="1" tint="0.34998626667073579"/>
        <name val="Aptos Display"/>
        <family val="2"/>
        <scheme val="major"/>
      </font>
      <numFmt numFmtId="170" formatCode="dd/mm/yyyy"/>
    </dxf>
    <dxf>
      <font>
        <strike val="0"/>
        <outline val="0"/>
        <shadow val="0"/>
        <u val="none"/>
        <vertAlign val="baseline"/>
        <sz val="10"/>
        <color theme="1" tint="0.34998626667073579"/>
        <name val="Aptos Display"/>
        <family val="2"/>
        <scheme val="major"/>
      </font>
      <numFmt numFmtId="165" formatCode="#,##0\ [$ đ]"/>
    </dxf>
    <dxf>
      <font>
        <strike val="0"/>
        <outline val="0"/>
        <shadow val="0"/>
        <u val="none"/>
        <vertAlign val="baseline"/>
        <sz val="11"/>
        <color theme="1" tint="0.34998626667073579"/>
        <name val="Aptos Display"/>
        <family val="2"/>
        <scheme val="major"/>
      </font>
      <numFmt numFmtId="0" formatCode="General"/>
      <alignment horizontal="left" vertical="center" textRotation="0" wrapText="0" relativeIndent="1" justifyLastLine="0" shrinkToFit="0" readingOrder="0"/>
    </dxf>
    <dxf>
      <font>
        <strike val="0"/>
        <outline val="0"/>
        <shadow val="0"/>
        <u val="none"/>
        <vertAlign val="baseline"/>
        <sz val="11"/>
        <color theme="1" tint="0.34998626667073579"/>
        <name val="Aptos Display"/>
        <family val="2"/>
        <scheme val="major"/>
      </font>
    </dxf>
    <dxf>
      <font>
        <strike val="0"/>
        <outline val="0"/>
        <shadow val="0"/>
        <u val="none"/>
        <vertAlign val="baseline"/>
        <sz val="11"/>
        <color theme="1" tint="0.34998626667073579"/>
        <name val="Aptos Display"/>
        <family val="2"/>
        <scheme val="major"/>
      </font>
    </dxf>
    <dxf>
      <font>
        <color theme="1" tint="0.34998626667073579"/>
      </font>
      <fill>
        <patternFill>
          <bgColor theme="0" tint="-4.9989318521683403E-2"/>
        </patternFill>
      </fill>
      <border>
        <left style="thin">
          <color theme="0"/>
        </left>
        <right style="thin">
          <color theme="0"/>
        </right>
        <top style="thin">
          <color theme="0"/>
        </top>
        <bottom style="thin">
          <color theme="0"/>
        </bottom>
        <vertical style="thin">
          <color theme="0"/>
        </vertical>
        <horizontal style="thin">
          <color theme="0"/>
        </horizontal>
      </border>
    </dxf>
    <dxf>
      <font>
        <color theme="1" tint="0.34998626667073579"/>
      </font>
      <border>
        <left/>
        <right/>
        <top/>
        <bottom style="thin">
          <color theme="0"/>
        </bottom>
        <vertical style="thin">
          <color theme="0"/>
        </vertical>
        <horizontal/>
      </border>
    </dxf>
    <dxf>
      <font>
        <b/>
        <i val="0"/>
        <color theme="0"/>
      </font>
      <fill>
        <patternFill>
          <fgColor rgb="FF1FD7A5"/>
          <bgColor rgb="FF1FD7A5"/>
        </patternFill>
      </fill>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tint="-4.9989318521683403E-2"/>
        </left>
        <right style="thin">
          <color theme="0" tint="-4.9989318521683403E-2"/>
        </right>
        <top style="thin">
          <color theme="0" tint="-4.9989318521683403E-2"/>
        </top>
        <bottom style="thin">
          <color theme="0" tint="-4.9989318521683403E-2"/>
        </bottom>
        <vertical/>
        <horizontal/>
      </border>
    </dxf>
    <dxf>
      <fill>
        <patternFill patternType="lightDown">
          <fgColor rgb="FF85D1FF"/>
        </patternFill>
      </fill>
    </dxf>
    <dxf>
      <fill>
        <patternFill patternType="lightDown">
          <fgColor rgb="FFCCECFF"/>
        </patternFill>
      </fill>
    </dxf>
    <dxf>
      <fill>
        <patternFill patternType="lightDown">
          <fgColor rgb="FF3CBAA2"/>
        </patternFill>
      </fill>
    </dxf>
    <dxf>
      <border diagonalDown="1">
        <left style="thin">
          <color rgb="FF31B3C5"/>
        </left>
        <right style="thin">
          <color rgb="FF31B3C5"/>
        </right>
        <top style="thin">
          <color rgb="FF31B3C5"/>
        </top>
        <bottom style="thin">
          <color rgb="FF31B3C5"/>
        </bottom>
        <diagonal style="dotted">
          <color rgb="FF26ACAF"/>
        </diagonal>
        <vertical style="thin">
          <color rgb="FF31B3C5"/>
        </vertical>
        <horizontal style="thin">
          <color rgb="FF31B3C5"/>
        </horizontal>
      </border>
    </dxf>
    <dxf>
      <font>
        <sz val="10"/>
      </font>
      <fill>
        <patternFill patternType="lightDown">
          <fgColor rgb="FFCCECFF"/>
          <bgColor auto="1"/>
        </patternFill>
      </fill>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border>
        <left style="thin">
          <color theme="0" tint="-4.9989318521683403E-2"/>
        </left>
        <right style="thin">
          <color theme="0" tint="-4.9989318521683403E-2"/>
        </right>
        <top style="thin">
          <color theme="0" tint="-4.9989318521683403E-2"/>
        </top>
        <bottom style="thin">
          <color theme="0" tint="-4.9989318521683403E-2"/>
        </bottom>
        <vertical style="thin">
          <color theme="0" tint="-4.9989318521683403E-2"/>
        </vertical>
        <horizontal style="thin">
          <color theme="0" tint="-4.9989318521683403E-2"/>
        </horizontal>
      </border>
    </dxf>
    <dxf>
      <font>
        <b/>
        <i val="0"/>
        <color theme="1" tint="0.24994659260841701"/>
      </font>
      <fill>
        <patternFill>
          <bgColor rgb="FFF2F2F2"/>
        </patternFill>
      </fill>
      <border>
        <left style="thin">
          <color theme="0" tint="-0.14996795556505021"/>
        </left>
        <right style="thin">
          <color theme="0" tint="-0.14996795556505021"/>
        </right>
        <top style="thin">
          <color theme="0" tint="-0.14996795556505021"/>
        </top>
        <bottom style="thin">
          <color theme="0" tint="-0.14996795556505021"/>
        </bottom>
        <vertical/>
        <horizontal style="thin">
          <color theme="0" tint="-0.14996795556505021"/>
        </horizontal>
      </border>
    </dxf>
    <dxf>
      <border diagonalUp="0">
        <left/>
        <right/>
        <top/>
        <bottom style="thin">
          <color theme="0" tint="-0.14996795556505021"/>
        </bottom>
        <vertical/>
        <horizontal/>
      </border>
    </dxf>
  </dxfs>
  <tableStyles count="4" defaultTableStyle="TableStyleMedium2" defaultPivotStyle="PivotStyleLight16">
    <tableStyle name="Dinh muc" pivot="0" count="4" xr9:uid="{F12D934A-7562-4C55-99DE-97F1AA960874}">
      <tableStyleElement type="headerRow" dxfId="180"/>
      <tableStyleElement type="totalRow" dxfId="179"/>
      <tableStyleElement type="firstRowStripe" dxfId="178"/>
      <tableStyleElement type="secondRowStripe" dxfId="177"/>
    </tableStyle>
    <tableStyle name="Slicer Style 1" pivot="0" table="0" count="5" xr9:uid="{BF35A32C-C8A1-4BE7-BD4B-C3A491D0E257}">
      <tableStyleElement type="wholeTable" dxfId="176"/>
    </tableStyle>
    <tableStyle name="Table Style 1" pivot="0" count="4" xr9:uid="{F9103EFB-BA95-4E92-BF7F-6FF31CE30636}">
      <tableStyleElement type="wholeTable" dxfId="175"/>
      <tableStyleElement type="headerRow" dxfId="174"/>
      <tableStyleElement type="firstRowStripe" dxfId="173"/>
      <tableStyleElement type="secondRowStripe" dxfId="172"/>
    </tableStyle>
    <tableStyle name="thu chi" pivot="0" count="4" xr9:uid="{C6C59C20-A0C7-436A-98A4-097DE7DC6811}">
      <tableStyleElement type="wholeTable" dxfId="171"/>
      <tableStyleElement type="headerRow" dxfId="170"/>
      <tableStyleElement type="firstRowStripe" dxfId="169"/>
      <tableStyleElement type="secondRowStripe" dxfId="168"/>
    </tableStyle>
  </tableStyles>
  <colors>
    <mruColors>
      <color rgb="FF1FD7A5"/>
      <color rgb="FFEC3957"/>
      <color rgb="FFFF9614"/>
      <color rgb="FFF8BC2F"/>
      <color rgb="FF0186EB"/>
      <color rgb="FFEA7B00"/>
      <color rgb="FF3CBAA2"/>
      <color rgb="FF31B3C5"/>
      <color rgb="FF26ACAF"/>
      <color rgb="FF40C5C8"/>
    </mruColors>
  </colors>
  <extLst>
    <ext xmlns:x14="http://schemas.microsoft.com/office/spreadsheetml/2009/9/main" uri="{46F421CA-312F-682f-3DD2-61675219B42D}">
      <x14:dxfs count="4">
        <dxf>
          <font>
            <b/>
            <i val="0"/>
            <color theme="1" tint="0.34998626667073579"/>
          </font>
          <fill>
            <patternFill patternType="lightDown">
              <fgColor theme="2" tint="-0.24994659260841701"/>
            </patternFill>
          </fill>
        </dxf>
        <dxf>
          <font>
            <b/>
            <i val="0"/>
            <color theme="1" tint="0.34998626667073579"/>
          </font>
          <border>
            <left style="thin">
              <color theme="0" tint="-4.9989318521683403E-2"/>
            </left>
            <right style="thin">
              <color theme="0" tint="-4.9989318521683403E-2"/>
            </right>
            <top style="thin">
              <color theme="0" tint="-4.9989318521683403E-2"/>
            </top>
            <bottom style="thin">
              <color theme="0" tint="-4.9989318521683403E-2"/>
            </bottom>
          </border>
        </dxf>
        <dxf>
          <font>
            <b/>
            <i val="0"/>
            <color theme="1" tint="0.34998626667073579"/>
          </font>
          <fill>
            <patternFill patternType="lightDown">
              <fgColor theme="2" tint="-0.24994659260841701"/>
            </patternFill>
          </fill>
        </dxf>
        <dxf>
          <font>
            <b/>
            <i val="0"/>
            <color theme="1" tint="0.34998626667073579"/>
          </font>
          <border diagonalDown="1">
            <left style="thin">
              <color theme="0" tint="-4.9989318521683403E-2"/>
            </left>
            <right style="thin">
              <color theme="0" tint="-4.9989318521683403E-2"/>
            </right>
            <top style="thin">
              <color theme="0" tint="-4.9989318521683403E-2"/>
            </top>
            <bottom style="thin">
              <color theme="0" tint="-4.9989318521683403E-2"/>
            </bottom>
            <diagonal style="thin">
              <color theme="2" tint="-9.9948118533890809E-2"/>
            </diagon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pn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png"/><Relationship Id="rId2" Type="http://schemas.microsoft.com/office/2011/relationships/chartColorStyle" Target="colors1.xml"/><Relationship Id="rId1" Type="http://schemas.microsoft.com/office/2011/relationships/chartStyle" Target="style1.xml"/><Relationship Id="rId6" Type="http://schemas.openxmlformats.org/officeDocument/2006/relationships/image" Target="../media/image4.png"/><Relationship Id="rId11" Type="http://schemas.openxmlformats.org/officeDocument/2006/relationships/image" Target="../media/image9.png"/><Relationship Id="rId5" Type="http://schemas.openxmlformats.org/officeDocument/2006/relationships/image" Target="../media/image3.png"/><Relationship Id="rId10" Type="http://schemas.openxmlformats.org/officeDocument/2006/relationships/image" Target="../media/image8.png"/><Relationship Id="rId4" Type="http://schemas.openxmlformats.org/officeDocument/2006/relationships/image" Target="../media/image2.png"/><Relationship Id="rId9" Type="http://schemas.openxmlformats.org/officeDocument/2006/relationships/image" Target="../media/image7.pn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50000"/>
                    <a:lumOff val="50000"/>
                  </a:schemeClr>
                </a:solidFill>
                <a:latin typeface="+mn-lt"/>
                <a:ea typeface="+mn-ea"/>
                <a:cs typeface="+mn-cs"/>
              </a:defRPr>
            </a:pPr>
            <a:r>
              <a:rPr lang="en-GB" b="1">
                <a:solidFill>
                  <a:schemeClr val="tx1">
                    <a:lumMod val="50000"/>
                    <a:lumOff val="50000"/>
                  </a:schemeClr>
                </a:solidFill>
              </a:rPr>
              <a:t>THU NHẬP</a:t>
            </a:r>
            <a:r>
              <a:rPr lang="en-GB" b="1" baseline="0">
                <a:solidFill>
                  <a:schemeClr val="tx1">
                    <a:lumMod val="50000"/>
                    <a:lumOff val="50000"/>
                  </a:schemeClr>
                </a:solidFill>
              </a:rPr>
              <a:t> VÀ CHI TIÊU QUA CÁC THÁNG</a:t>
            </a:r>
            <a:endParaRPr lang="en-GB" b="1">
              <a:solidFill>
                <a:schemeClr val="tx1">
                  <a:lumMod val="50000"/>
                  <a:lumOff val="50000"/>
                </a:schemeClr>
              </a:solidFill>
            </a:endParaRPr>
          </a:p>
        </c:rich>
      </c:tx>
      <c:layout>
        <c:manualLayout>
          <c:xMode val="edge"/>
          <c:yMode val="edge"/>
          <c:x val="0.34664217705004446"/>
          <c:y val="0.9172401200124517"/>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50000"/>
                  <a:lumOff val="50000"/>
                </a:schemeClr>
              </a:solidFill>
              <a:latin typeface="+mn-lt"/>
              <a:ea typeface="+mn-ea"/>
              <a:cs typeface="+mn-cs"/>
            </a:defRPr>
          </a:pPr>
          <a:endParaRPr lang="en-GB"/>
        </a:p>
      </c:txPr>
    </c:title>
    <c:autoTitleDeleted val="0"/>
    <c:plotArea>
      <c:layout>
        <c:manualLayout>
          <c:layoutTarget val="inner"/>
          <c:xMode val="edge"/>
          <c:yMode val="edge"/>
          <c:x val="5.6655153033105782E-2"/>
          <c:y val="6.2500793751811529E-2"/>
          <c:w val="0.93541768297673811"/>
          <c:h val="0.78062252155406586"/>
        </c:manualLayout>
      </c:layout>
      <c:areaChart>
        <c:grouping val="standard"/>
        <c:varyColors val="0"/>
        <c:ser>
          <c:idx val="2"/>
          <c:order val="1"/>
          <c:tx>
            <c:v>Seri 3</c:v>
          </c:tx>
          <c:spPr>
            <a:gradFill>
              <a:gsLst>
                <a:gs pos="0">
                  <a:srgbClr val="FFFF00">
                    <a:alpha val="30000"/>
                  </a:srgbClr>
                </a:gs>
                <a:gs pos="100000">
                  <a:srgbClr val="FFFF00">
                    <a:alpha val="5000"/>
                  </a:srgbClr>
                </a:gs>
              </a:gsLst>
              <a:lin ang="5400000" scaled="1"/>
            </a:gradFill>
            <a:ln>
              <a:noFill/>
            </a:ln>
            <a:effectLst/>
          </c:spPr>
          <c:val>
            <c:numRef>
              <c:f>'Công thức'!$J$3:$J$14</c:f>
              <c:numCache>
                <c:formatCode>_-* #,##0_-;\-* #,##0_-;_-* "-"??_-;_-@_-</c:formatCode>
                <c:ptCount val="12"/>
                <c:pt idx="0">
                  <c:v>9900000</c:v>
                </c:pt>
                <c:pt idx="1">
                  <c:v>11100000</c:v>
                </c:pt>
                <c:pt idx="2">
                  <c:v>10000000</c:v>
                </c:pt>
                <c:pt idx="3">
                  <c:v>12100000</c:v>
                </c:pt>
                <c:pt idx="4">
                  <c:v>10000000</c:v>
                </c:pt>
                <c:pt idx="5">
                  <c:v>11200000</c:v>
                </c:pt>
                <c:pt idx="6">
                  <c:v>13000000</c:v>
                </c:pt>
                <c:pt idx="7">
                  <c:v>9900000</c:v>
                </c:pt>
                <c:pt idx="8">
                  <c:v>10500000</c:v>
                </c:pt>
                <c:pt idx="9">
                  <c:v>10200000</c:v>
                </c:pt>
                <c:pt idx="10">
                  <c:v>10000000</c:v>
                </c:pt>
                <c:pt idx="11">
                  <c:v>#N/A</c:v>
                </c:pt>
              </c:numCache>
            </c:numRef>
          </c:val>
          <c:extLst>
            <c:ext xmlns:c16="http://schemas.microsoft.com/office/drawing/2014/chart" uri="{C3380CC4-5D6E-409C-BE32-E72D297353CC}">
              <c16:uniqueId val="{00000017-6F42-479E-8C84-F684F4DF74FD}"/>
            </c:ext>
          </c:extLst>
        </c:ser>
        <c:dLbls>
          <c:showLegendKey val="0"/>
          <c:showVal val="0"/>
          <c:showCatName val="0"/>
          <c:showSerName val="0"/>
          <c:showPercent val="0"/>
          <c:showBubbleSize val="0"/>
        </c:dLbls>
        <c:axId val="415349919"/>
        <c:axId val="415364799"/>
      </c:areaChart>
      <c:barChart>
        <c:barDir val="col"/>
        <c:grouping val="clustered"/>
        <c:varyColors val="0"/>
        <c:ser>
          <c:idx val="0"/>
          <c:order val="0"/>
          <c:spPr>
            <a:solidFill>
              <a:schemeClr val="accent1"/>
            </a:solidFill>
            <a:ln>
              <a:noFill/>
            </a:ln>
            <a:effectLst>
              <a:outerShdw blurRad="25400" dist="38100" dir="2700000" algn="tl" rotWithShape="0">
                <a:prstClr val="black">
                  <a:alpha val="20000"/>
                </a:prstClr>
              </a:outerShdw>
            </a:effectLst>
          </c:spPr>
          <c:invertIfNegative val="0"/>
          <c:dPt>
            <c:idx val="0"/>
            <c:invertIfNegative val="0"/>
            <c:bubble3D val="0"/>
            <c:spPr>
              <a:blipFill>
                <a:blip xmlns:r="http://schemas.openxmlformats.org/officeDocument/2006/relationships" r:embed="rId3"/>
                <a:stretch>
                  <a:fillRect/>
                </a:stretch>
              </a:blipFill>
              <a:ln>
                <a:noFill/>
              </a:ln>
              <a:effectLst>
                <a:outerShdw blurRad="25400" dist="38100" dir="2700000" algn="tl" rotWithShape="0">
                  <a:prstClr val="black">
                    <a:alpha val="20000"/>
                  </a:prstClr>
                </a:outerShdw>
              </a:effectLst>
            </c:spPr>
            <c:extLst>
              <c:ext xmlns:c16="http://schemas.microsoft.com/office/drawing/2014/chart" uri="{C3380CC4-5D6E-409C-BE32-E72D297353CC}">
                <c16:uniqueId val="{00000000-98B8-41FD-96D7-0B70AA48F5E5}"/>
              </c:ext>
            </c:extLst>
          </c:dPt>
          <c:dPt>
            <c:idx val="1"/>
            <c:invertIfNegative val="0"/>
            <c:bubble3D val="0"/>
            <c:spPr>
              <a:blipFill>
                <a:blip xmlns:r="http://schemas.openxmlformats.org/officeDocument/2006/relationships" r:embed="rId4"/>
                <a:stretch>
                  <a:fillRect/>
                </a:stretch>
              </a:blipFill>
              <a:ln>
                <a:noFill/>
              </a:ln>
              <a:effectLst>
                <a:outerShdw blurRad="25400" dist="38100" dir="2700000" algn="tl" rotWithShape="0">
                  <a:prstClr val="black">
                    <a:alpha val="20000"/>
                  </a:prstClr>
                </a:outerShdw>
              </a:effectLst>
            </c:spPr>
            <c:extLst>
              <c:ext xmlns:c16="http://schemas.microsoft.com/office/drawing/2014/chart" uri="{C3380CC4-5D6E-409C-BE32-E72D297353CC}">
                <c16:uniqueId val="{00000001-98B8-41FD-96D7-0B70AA48F5E5}"/>
              </c:ext>
            </c:extLst>
          </c:dPt>
          <c:dPt>
            <c:idx val="2"/>
            <c:invertIfNegative val="0"/>
            <c:bubble3D val="0"/>
            <c:spPr>
              <a:blipFill>
                <a:blip xmlns:r="http://schemas.openxmlformats.org/officeDocument/2006/relationships" r:embed="rId5"/>
                <a:stretch>
                  <a:fillRect/>
                </a:stretch>
              </a:blipFill>
              <a:ln>
                <a:noFill/>
              </a:ln>
              <a:effectLst>
                <a:outerShdw blurRad="25400" dist="38100" dir="2700000" algn="tl" rotWithShape="0">
                  <a:prstClr val="black">
                    <a:alpha val="20000"/>
                  </a:prstClr>
                </a:outerShdw>
              </a:effectLst>
            </c:spPr>
            <c:extLst>
              <c:ext xmlns:c16="http://schemas.microsoft.com/office/drawing/2014/chart" uri="{C3380CC4-5D6E-409C-BE32-E72D297353CC}">
                <c16:uniqueId val="{00000002-98B8-41FD-96D7-0B70AA48F5E5}"/>
              </c:ext>
            </c:extLst>
          </c:dPt>
          <c:dPt>
            <c:idx val="3"/>
            <c:invertIfNegative val="0"/>
            <c:bubble3D val="0"/>
            <c:spPr>
              <a:blipFill>
                <a:blip xmlns:r="http://schemas.openxmlformats.org/officeDocument/2006/relationships" r:embed="rId6"/>
                <a:stretch>
                  <a:fillRect/>
                </a:stretch>
              </a:blipFill>
              <a:ln>
                <a:noFill/>
              </a:ln>
              <a:effectLst>
                <a:outerShdw blurRad="25400" dist="38100" dir="2700000" algn="tl" rotWithShape="0">
                  <a:prstClr val="black">
                    <a:alpha val="20000"/>
                  </a:prstClr>
                </a:outerShdw>
              </a:effectLst>
            </c:spPr>
            <c:extLst>
              <c:ext xmlns:c16="http://schemas.microsoft.com/office/drawing/2014/chart" uri="{C3380CC4-5D6E-409C-BE32-E72D297353CC}">
                <c16:uniqueId val="{00000003-98B8-41FD-96D7-0B70AA48F5E5}"/>
              </c:ext>
            </c:extLst>
          </c:dPt>
          <c:dPt>
            <c:idx val="4"/>
            <c:invertIfNegative val="0"/>
            <c:bubble3D val="0"/>
            <c:spPr>
              <a:blipFill>
                <a:blip xmlns:r="http://schemas.openxmlformats.org/officeDocument/2006/relationships" r:embed="rId7"/>
                <a:stretch>
                  <a:fillRect/>
                </a:stretch>
              </a:blipFill>
              <a:ln>
                <a:noFill/>
              </a:ln>
              <a:effectLst>
                <a:outerShdw blurRad="25400" dist="38100" dir="2700000" algn="tl" rotWithShape="0">
                  <a:prstClr val="black">
                    <a:alpha val="20000"/>
                  </a:prstClr>
                </a:outerShdw>
              </a:effectLst>
            </c:spPr>
            <c:extLst>
              <c:ext xmlns:c16="http://schemas.microsoft.com/office/drawing/2014/chart" uri="{C3380CC4-5D6E-409C-BE32-E72D297353CC}">
                <c16:uniqueId val="{00000004-98B8-41FD-96D7-0B70AA48F5E5}"/>
              </c:ext>
            </c:extLst>
          </c:dPt>
          <c:dPt>
            <c:idx val="5"/>
            <c:invertIfNegative val="0"/>
            <c:bubble3D val="0"/>
            <c:spPr>
              <a:blipFill>
                <a:blip xmlns:r="http://schemas.openxmlformats.org/officeDocument/2006/relationships" r:embed="rId8"/>
                <a:stretch>
                  <a:fillRect/>
                </a:stretch>
              </a:blipFill>
              <a:ln>
                <a:noFill/>
              </a:ln>
              <a:effectLst>
                <a:outerShdw blurRad="25400" dist="38100" dir="2700000" algn="tl" rotWithShape="0">
                  <a:prstClr val="black">
                    <a:alpha val="20000"/>
                  </a:prstClr>
                </a:outerShdw>
              </a:effectLst>
            </c:spPr>
            <c:extLst>
              <c:ext xmlns:c16="http://schemas.microsoft.com/office/drawing/2014/chart" uri="{C3380CC4-5D6E-409C-BE32-E72D297353CC}">
                <c16:uniqueId val="{00000005-98B8-41FD-96D7-0B70AA48F5E5}"/>
              </c:ext>
            </c:extLst>
          </c:dPt>
          <c:dPt>
            <c:idx val="6"/>
            <c:invertIfNegative val="0"/>
            <c:bubble3D val="0"/>
            <c:spPr>
              <a:blipFill>
                <a:blip xmlns:r="http://schemas.openxmlformats.org/officeDocument/2006/relationships" r:embed="rId9"/>
                <a:stretch>
                  <a:fillRect/>
                </a:stretch>
              </a:blipFill>
              <a:ln>
                <a:noFill/>
              </a:ln>
              <a:effectLst>
                <a:outerShdw blurRad="25400" dist="38100" dir="2700000" algn="tl" rotWithShape="0">
                  <a:prstClr val="black">
                    <a:alpha val="20000"/>
                  </a:prstClr>
                </a:outerShdw>
              </a:effectLst>
            </c:spPr>
            <c:extLst>
              <c:ext xmlns:c16="http://schemas.microsoft.com/office/drawing/2014/chart" uri="{C3380CC4-5D6E-409C-BE32-E72D297353CC}">
                <c16:uniqueId val="{00000006-98B8-41FD-96D7-0B70AA48F5E5}"/>
              </c:ext>
            </c:extLst>
          </c:dPt>
          <c:dPt>
            <c:idx val="7"/>
            <c:invertIfNegative val="0"/>
            <c:bubble3D val="0"/>
            <c:spPr>
              <a:blipFill>
                <a:blip xmlns:r="http://schemas.openxmlformats.org/officeDocument/2006/relationships" r:embed="rId10"/>
                <a:stretch>
                  <a:fillRect/>
                </a:stretch>
              </a:blipFill>
              <a:ln>
                <a:noFill/>
              </a:ln>
              <a:effectLst>
                <a:outerShdw blurRad="25400" dist="38100" dir="2700000" algn="tl" rotWithShape="0">
                  <a:prstClr val="black">
                    <a:alpha val="20000"/>
                  </a:prstClr>
                </a:outerShdw>
              </a:effectLst>
            </c:spPr>
            <c:extLst>
              <c:ext xmlns:c16="http://schemas.microsoft.com/office/drawing/2014/chart" uri="{C3380CC4-5D6E-409C-BE32-E72D297353CC}">
                <c16:uniqueId val="{00000007-98B8-41FD-96D7-0B70AA48F5E5}"/>
              </c:ext>
            </c:extLst>
          </c:dPt>
          <c:dPt>
            <c:idx val="8"/>
            <c:invertIfNegative val="0"/>
            <c:bubble3D val="0"/>
            <c:spPr>
              <a:blipFill>
                <a:blip xmlns:r="http://schemas.openxmlformats.org/officeDocument/2006/relationships" r:embed="rId11"/>
                <a:stretch>
                  <a:fillRect/>
                </a:stretch>
              </a:blipFill>
              <a:ln>
                <a:noFill/>
              </a:ln>
              <a:effectLst>
                <a:outerShdw blurRad="25400" dist="38100" dir="2700000" algn="tl" rotWithShape="0">
                  <a:prstClr val="black">
                    <a:alpha val="20000"/>
                  </a:prstClr>
                </a:outerShdw>
              </a:effectLst>
            </c:spPr>
            <c:extLst>
              <c:ext xmlns:c16="http://schemas.microsoft.com/office/drawing/2014/chart" uri="{C3380CC4-5D6E-409C-BE32-E72D297353CC}">
                <c16:uniqueId val="{00000008-98B8-41FD-96D7-0B70AA48F5E5}"/>
              </c:ext>
            </c:extLst>
          </c:dPt>
          <c:dPt>
            <c:idx val="9"/>
            <c:invertIfNegative val="0"/>
            <c:bubble3D val="0"/>
            <c:spPr>
              <a:blipFill>
                <a:blip xmlns:r="http://schemas.openxmlformats.org/officeDocument/2006/relationships" r:embed="rId12"/>
                <a:stretch>
                  <a:fillRect/>
                </a:stretch>
              </a:blipFill>
              <a:ln>
                <a:noFill/>
              </a:ln>
              <a:effectLst>
                <a:outerShdw blurRad="25400" dist="38100" dir="2700000" algn="tl" rotWithShape="0">
                  <a:prstClr val="black">
                    <a:alpha val="20000"/>
                  </a:prstClr>
                </a:outerShdw>
              </a:effectLst>
            </c:spPr>
            <c:extLst>
              <c:ext xmlns:c16="http://schemas.microsoft.com/office/drawing/2014/chart" uri="{C3380CC4-5D6E-409C-BE32-E72D297353CC}">
                <c16:uniqueId val="{00000009-98B8-41FD-96D7-0B70AA48F5E5}"/>
              </c:ext>
            </c:extLst>
          </c:dPt>
          <c:dPt>
            <c:idx val="10"/>
            <c:invertIfNegative val="0"/>
            <c:bubble3D val="0"/>
            <c:spPr>
              <a:blipFill>
                <a:blip xmlns:r="http://schemas.openxmlformats.org/officeDocument/2006/relationships" r:embed="rId13"/>
                <a:stretch>
                  <a:fillRect/>
                </a:stretch>
              </a:blipFill>
              <a:ln>
                <a:noFill/>
              </a:ln>
              <a:effectLst>
                <a:outerShdw blurRad="25400" dist="38100" dir="2700000" algn="tl" rotWithShape="0">
                  <a:prstClr val="black">
                    <a:alpha val="20000"/>
                  </a:prstClr>
                </a:outerShdw>
              </a:effectLst>
            </c:spPr>
            <c:extLst>
              <c:ext xmlns:c16="http://schemas.microsoft.com/office/drawing/2014/chart" uri="{C3380CC4-5D6E-409C-BE32-E72D297353CC}">
                <c16:uniqueId val="{0000000A-98B8-41FD-96D7-0B70AA48F5E5}"/>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'Công thức'!$H$3:$H$14</c:f>
              <c:numCache>
                <c:formatCode>mmm</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'Công thức'!$I$3:$I$14</c:f>
              <c:numCache>
                <c:formatCode>_-* #,##0_-;\-* #,##0_-;_-* "-"??_-;_-@_-</c:formatCode>
                <c:ptCount val="12"/>
                <c:pt idx="0">
                  <c:v>8934000</c:v>
                </c:pt>
                <c:pt idx="1">
                  <c:v>9536000</c:v>
                </c:pt>
                <c:pt idx="2">
                  <c:v>10991000</c:v>
                </c:pt>
                <c:pt idx="3">
                  <c:v>10715000</c:v>
                </c:pt>
                <c:pt idx="4">
                  <c:v>9829000</c:v>
                </c:pt>
                <c:pt idx="5">
                  <c:v>9994000</c:v>
                </c:pt>
                <c:pt idx="6">
                  <c:v>12842000</c:v>
                </c:pt>
                <c:pt idx="7">
                  <c:v>9838000</c:v>
                </c:pt>
                <c:pt idx="8">
                  <c:v>10518000</c:v>
                </c:pt>
                <c:pt idx="9">
                  <c:v>9178000</c:v>
                </c:pt>
                <c:pt idx="10">
                  <c:v>7965000</c:v>
                </c:pt>
                <c:pt idx="11">
                  <c:v>0</c:v>
                </c:pt>
              </c:numCache>
            </c:numRef>
          </c:val>
          <c:extLst>
            <c:ext xmlns:c16="http://schemas.microsoft.com/office/drawing/2014/chart" uri="{C3380CC4-5D6E-409C-BE32-E72D297353CC}">
              <c16:uniqueId val="{00000000-A06E-499A-9EED-FC192F443AB6}"/>
            </c:ext>
          </c:extLst>
        </c:ser>
        <c:dLbls>
          <c:showLegendKey val="0"/>
          <c:showVal val="0"/>
          <c:showCatName val="0"/>
          <c:showSerName val="0"/>
          <c:showPercent val="0"/>
          <c:showBubbleSize val="0"/>
        </c:dLbls>
        <c:gapWidth val="75"/>
        <c:axId val="415349919"/>
        <c:axId val="415364799"/>
      </c:barChart>
      <c:lineChart>
        <c:grouping val="standard"/>
        <c:varyColors val="0"/>
        <c:ser>
          <c:idx val="1"/>
          <c:order val="2"/>
          <c:spPr>
            <a:ln w="9525" cap="rnd">
              <a:solidFill>
                <a:srgbClr val="F8BC2F"/>
              </a:solidFill>
              <a:prstDash val="dash"/>
              <a:round/>
            </a:ln>
            <a:effectLst/>
          </c:spPr>
          <c:marker>
            <c:symbol val="diamond"/>
            <c:size val="5"/>
            <c:spPr>
              <a:noFill/>
              <a:ln w="38100" cap="rnd" cmpd="sng">
                <a:noFill/>
              </a:ln>
              <a:effectLst/>
            </c:spPr>
          </c:marker>
          <c:dLbls>
            <c:numFmt formatCode="#0.#0,,\ \T\r"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8C0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'Công thức'!$H$3:$H$14</c:f>
              <c:numCache>
                <c:formatCode>mmm</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'Công thức'!$J$3:$J$14</c:f>
              <c:numCache>
                <c:formatCode>_-* #,##0_-;\-* #,##0_-;_-* "-"??_-;_-@_-</c:formatCode>
                <c:ptCount val="12"/>
                <c:pt idx="0">
                  <c:v>9900000</c:v>
                </c:pt>
                <c:pt idx="1">
                  <c:v>11100000</c:v>
                </c:pt>
                <c:pt idx="2">
                  <c:v>10000000</c:v>
                </c:pt>
                <c:pt idx="3">
                  <c:v>12100000</c:v>
                </c:pt>
                <c:pt idx="4">
                  <c:v>10000000</c:v>
                </c:pt>
                <c:pt idx="5">
                  <c:v>11200000</c:v>
                </c:pt>
                <c:pt idx="6">
                  <c:v>13000000</c:v>
                </c:pt>
                <c:pt idx="7">
                  <c:v>9900000</c:v>
                </c:pt>
                <c:pt idx="8">
                  <c:v>10500000</c:v>
                </c:pt>
                <c:pt idx="9">
                  <c:v>10200000</c:v>
                </c:pt>
                <c:pt idx="10">
                  <c:v>10000000</c:v>
                </c:pt>
                <c:pt idx="11">
                  <c:v>#N/A</c:v>
                </c:pt>
              </c:numCache>
            </c:numRef>
          </c:val>
          <c:smooth val="1"/>
          <c:extLst>
            <c:ext xmlns:c16="http://schemas.microsoft.com/office/drawing/2014/chart" uri="{C3380CC4-5D6E-409C-BE32-E72D297353CC}">
              <c16:uniqueId val="{00000001-A06E-499A-9EED-FC192F443AB6}"/>
            </c:ext>
          </c:extLst>
        </c:ser>
        <c:dLbls>
          <c:showLegendKey val="0"/>
          <c:showVal val="0"/>
          <c:showCatName val="0"/>
          <c:showSerName val="0"/>
          <c:showPercent val="0"/>
          <c:showBubbleSize val="0"/>
        </c:dLbls>
        <c:marker val="1"/>
        <c:smooth val="0"/>
        <c:axId val="415349919"/>
        <c:axId val="415364799"/>
      </c:lineChart>
      <c:dateAx>
        <c:axId val="415349919"/>
        <c:scaling>
          <c:orientation val="minMax"/>
        </c:scaling>
        <c:delete val="0"/>
        <c:axPos val="b"/>
        <c:numFmt formatCode="mmm" sourceLinked="1"/>
        <c:majorTickMark val="out"/>
        <c:minorTickMark val="none"/>
        <c:tickLblPos val="nextTo"/>
        <c:spPr>
          <a:noFill/>
          <a:ln w="6350" cap="flat" cmpd="sng" algn="ctr">
            <a:solidFill>
              <a:srgbClr val="26ACAF"/>
            </a:solidFill>
            <a:round/>
          </a:ln>
          <a:effectLst/>
        </c:spPr>
        <c:txPr>
          <a:bodyPr rot="-6000000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crossAx val="415364799"/>
        <c:crosses val="autoZero"/>
        <c:auto val="1"/>
        <c:lblOffset val="100"/>
        <c:baseTimeUnit val="months"/>
      </c:dateAx>
      <c:valAx>
        <c:axId val="415364799"/>
        <c:scaling>
          <c:orientation val="minMax"/>
        </c:scaling>
        <c:delete val="0"/>
        <c:axPos val="l"/>
        <c:majorGridlines>
          <c:spPr>
            <a:ln w="9525" cap="flat" cmpd="sng" algn="ctr">
              <a:solidFill>
                <a:schemeClr val="bg1">
                  <a:lumMod val="75000"/>
                  <a:alpha val="50000"/>
                </a:schemeClr>
              </a:solidFill>
              <a:prstDash val="dash"/>
              <a:round/>
            </a:ln>
            <a:effectLst/>
          </c:spPr>
        </c:majorGridlines>
        <c:numFmt formatCode="#0.#0,,\ \T\r" sourceLinked="0"/>
        <c:majorTickMark val="none"/>
        <c:minorTickMark val="none"/>
        <c:tickLblPos val="nextTo"/>
        <c:spPr>
          <a:noFill/>
          <a:ln w="9525">
            <a:solidFill>
              <a:srgbClr val="26ACAF"/>
            </a:solidFill>
            <a:prstDash val="solid"/>
          </a:ln>
          <a:effectLst/>
        </c:spPr>
        <c:txPr>
          <a:bodyPr rot="-60000000" spcFirstLastPara="1" vertOverflow="ellipsis" vert="horz" wrap="square" anchor="ctr" anchorCtr="1"/>
          <a:lstStyle/>
          <a:p>
            <a:pPr>
              <a:defRPr sz="900" b="0" i="0" u="none" strike="noStrike" kern="1200" baseline="0">
                <a:solidFill>
                  <a:srgbClr val="26ACAF"/>
                </a:solidFill>
                <a:latin typeface="+mn-lt"/>
                <a:ea typeface="+mn-ea"/>
                <a:cs typeface="+mn-cs"/>
              </a:defRPr>
            </a:pPr>
            <a:endParaRPr lang="en-US"/>
          </a:p>
        </c:txPr>
        <c:crossAx val="41534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50000"/>
                    <a:lumOff val="50000"/>
                  </a:schemeClr>
                </a:solidFill>
                <a:latin typeface="+mn-lt"/>
                <a:ea typeface="+mn-ea"/>
                <a:cs typeface="+mn-cs"/>
              </a:defRPr>
            </a:pPr>
            <a:r>
              <a:rPr lang="en-GB" b="1">
                <a:solidFill>
                  <a:schemeClr val="tx1">
                    <a:lumMod val="50000"/>
                    <a:lumOff val="50000"/>
                  </a:schemeClr>
                </a:solidFill>
              </a:rPr>
              <a:t>SO</a:t>
            </a:r>
            <a:r>
              <a:rPr lang="en-GB" b="1" baseline="0">
                <a:solidFill>
                  <a:schemeClr val="tx1">
                    <a:lumMod val="50000"/>
                    <a:lumOff val="50000"/>
                  </a:schemeClr>
                </a:solidFill>
              </a:rPr>
              <a:t> SÁNH CHI TIÊU THÁNG NÀY VÀ THÁNG TRƯỚC</a:t>
            </a:r>
            <a:endParaRPr lang="en-GB" b="1">
              <a:solidFill>
                <a:schemeClr val="tx1">
                  <a:lumMod val="50000"/>
                  <a:lumOff val="50000"/>
                </a:schemeClr>
              </a:solidFill>
            </a:endParaRPr>
          </a:p>
        </c:rich>
      </c:tx>
      <c:layout>
        <c:manualLayout>
          <c:xMode val="edge"/>
          <c:yMode val="edge"/>
          <c:x val="0.24846765545368024"/>
          <c:y val="0.9075630252100840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50000"/>
                  <a:lumOff val="50000"/>
                </a:schemeClr>
              </a:solidFill>
              <a:latin typeface="+mn-lt"/>
              <a:ea typeface="+mn-ea"/>
              <a:cs typeface="+mn-cs"/>
            </a:defRPr>
          </a:pPr>
          <a:endParaRPr lang="en-GB"/>
        </a:p>
      </c:txPr>
    </c:title>
    <c:autoTitleDeleted val="0"/>
    <c:plotArea>
      <c:layout>
        <c:manualLayout>
          <c:layoutTarget val="inner"/>
          <c:xMode val="edge"/>
          <c:yMode val="edge"/>
          <c:x val="5.4471122651889477E-2"/>
          <c:y val="6.2378167641325533E-2"/>
          <c:w val="0.93025110124113064"/>
          <c:h val="0.75831038664026651"/>
        </c:manualLayout>
      </c:layout>
      <c:areaChart>
        <c:grouping val="standard"/>
        <c:varyColors val="0"/>
        <c:ser>
          <c:idx val="1"/>
          <c:order val="1"/>
          <c:spPr>
            <a:solidFill>
              <a:srgbClr val="B9EDEC">
                <a:alpha val="49804"/>
              </a:srgbClr>
            </a:solidFill>
            <a:ln w="25400">
              <a:noFill/>
            </a:ln>
            <a:effectLst/>
          </c:spPr>
          <c:cat>
            <c:strRef>
              <c:f>'Công thức'!$Y$3:$Y$33</c:f>
              <c:strCache>
                <c:ptCount val="30"/>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'Công thức'!$AB$3:$AB$33</c:f>
              <c:numCache>
                <c:formatCode>_-* #,##0_-;\-* #,##0_-;_-* "-"??_-;_-@_-</c:formatCode>
                <c:ptCount val="31"/>
                <c:pt idx="0">
                  <c:v>536000</c:v>
                </c:pt>
                <c:pt idx="1">
                  <c:v>563000</c:v>
                </c:pt>
                <c:pt idx="2">
                  <c:v>642000</c:v>
                </c:pt>
                <c:pt idx="3">
                  <c:v>147000</c:v>
                </c:pt>
                <c:pt idx="4">
                  <c:v>650000</c:v>
                </c:pt>
                <c:pt idx="5">
                  <c:v>552000</c:v>
                </c:pt>
                <c:pt idx="6">
                  <c:v>455000</c:v>
                </c:pt>
                <c:pt idx="7">
                  <c:v>202000</c:v>
                </c:pt>
                <c:pt idx="8">
                  <c:v>162000</c:v>
                </c:pt>
                <c:pt idx="9">
                  <c:v>556000</c:v>
                </c:pt>
                <c:pt idx="10">
                  <c:v>447000</c:v>
                </c:pt>
                <c:pt idx="11">
                  <c:v>107000</c:v>
                </c:pt>
                <c:pt idx="12">
                  <c:v>500000</c:v>
                </c:pt>
                <c:pt idx="13">
                  <c:v>58000</c:v>
                </c:pt>
                <c:pt idx="14">
                  <c:v>164000</c:v>
                </c:pt>
                <c:pt idx="15">
                  <c:v>192000</c:v>
                </c:pt>
                <c:pt idx="16">
                  <c:v>133000</c:v>
                </c:pt>
                <c:pt idx="17">
                  <c:v>563000</c:v>
                </c:pt>
                <c:pt idx="18">
                  <c:v>106000</c:v>
                </c:pt>
                <c:pt idx="19">
                  <c:v>157000</c:v>
                </c:pt>
                <c:pt idx="20">
                  <c:v>141000</c:v>
                </c:pt>
                <c:pt idx="21">
                  <c:v>109000</c:v>
                </c:pt>
                <c:pt idx="22">
                  <c:v>513000</c:v>
                </c:pt>
                <c:pt idx="23">
                  <c:v>226000</c:v>
                </c:pt>
                <c:pt idx="24">
                  <c:v>193000</c:v>
                </c:pt>
                <c:pt idx="25">
                  <c:v>500000</c:v>
                </c:pt>
                <c:pt idx="26">
                  <c:v>94000</c:v>
                </c:pt>
                <c:pt idx="27">
                  <c:v>149000</c:v>
                </c:pt>
                <c:pt idx="28">
                  <c:v>164000</c:v>
                </c:pt>
                <c:pt idx="29">
                  <c:v>197000</c:v>
                </c:pt>
                <c:pt idx="30">
                  <c:v>0</c:v>
                </c:pt>
              </c:numCache>
            </c:numRef>
          </c:val>
          <c:extLst>
            <c:ext xmlns:c16="http://schemas.microsoft.com/office/drawing/2014/chart" uri="{C3380CC4-5D6E-409C-BE32-E72D297353CC}">
              <c16:uniqueId val="{00000000-A35A-4D87-99A9-83FAB1C10CEC}"/>
            </c:ext>
          </c:extLst>
        </c:ser>
        <c:dLbls>
          <c:showLegendKey val="0"/>
          <c:showVal val="0"/>
          <c:showCatName val="0"/>
          <c:showSerName val="0"/>
          <c:showPercent val="0"/>
          <c:showBubbleSize val="0"/>
        </c:dLbls>
        <c:axId val="1475494831"/>
        <c:axId val="1475490511"/>
      </c:areaChart>
      <c:lineChart>
        <c:grouping val="standard"/>
        <c:varyColors val="0"/>
        <c:ser>
          <c:idx val="2"/>
          <c:order val="0"/>
          <c:tx>
            <c:v>Tháng trước</c:v>
          </c:tx>
          <c:spPr>
            <a:ln w="25400" cap="rnd">
              <a:solidFill>
                <a:srgbClr val="33CAC8"/>
              </a:solidFill>
              <a:round/>
            </a:ln>
            <a:effectLst/>
          </c:spPr>
          <c:marker>
            <c:symbol val="circle"/>
            <c:size val="6"/>
            <c:spPr>
              <a:solidFill>
                <a:srgbClr val="1FD7A5"/>
              </a:solidFill>
              <a:ln w="9525">
                <a:noFill/>
              </a:ln>
              <a:effectLst/>
            </c:spPr>
          </c:marker>
          <c:val>
            <c:numRef>
              <c:f>'Công thức'!$AB$3:$AB$33</c:f>
              <c:numCache>
                <c:formatCode>_-* #,##0_-;\-* #,##0_-;_-* "-"??_-;_-@_-</c:formatCode>
                <c:ptCount val="31"/>
                <c:pt idx="0">
                  <c:v>536000</c:v>
                </c:pt>
                <c:pt idx="1">
                  <c:v>563000</c:v>
                </c:pt>
                <c:pt idx="2">
                  <c:v>642000</c:v>
                </c:pt>
                <c:pt idx="3">
                  <c:v>147000</c:v>
                </c:pt>
                <c:pt idx="4">
                  <c:v>650000</c:v>
                </c:pt>
                <c:pt idx="5">
                  <c:v>552000</c:v>
                </c:pt>
                <c:pt idx="6">
                  <c:v>455000</c:v>
                </c:pt>
                <c:pt idx="7">
                  <c:v>202000</c:v>
                </c:pt>
                <c:pt idx="8">
                  <c:v>162000</c:v>
                </c:pt>
                <c:pt idx="9">
                  <c:v>556000</c:v>
                </c:pt>
                <c:pt idx="10">
                  <c:v>447000</c:v>
                </c:pt>
                <c:pt idx="11">
                  <c:v>107000</c:v>
                </c:pt>
                <c:pt idx="12">
                  <c:v>500000</c:v>
                </c:pt>
                <c:pt idx="13">
                  <c:v>58000</c:v>
                </c:pt>
                <c:pt idx="14">
                  <c:v>164000</c:v>
                </c:pt>
                <c:pt idx="15">
                  <c:v>192000</c:v>
                </c:pt>
                <c:pt idx="16">
                  <c:v>133000</c:v>
                </c:pt>
                <c:pt idx="17">
                  <c:v>563000</c:v>
                </c:pt>
                <c:pt idx="18">
                  <c:v>106000</c:v>
                </c:pt>
                <c:pt idx="19">
                  <c:v>157000</c:v>
                </c:pt>
                <c:pt idx="20">
                  <c:v>141000</c:v>
                </c:pt>
                <c:pt idx="21">
                  <c:v>109000</c:v>
                </c:pt>
                <c:pt idx="22">
                  <c:v>513000</c:v>
                </c:pt>
                <c:pt idx="23">
                  <c:v>226000</c:v>
                </c:pt>
                <c:pt idx="24">
                  <c:v>193000</c:v>
                </c:pt>
                <c:pt idx="25">
                  <c:v>500000</c:v>
                </c:pt>
                <c:pt idx="26">
                  <c:v>94000</c:v>
                </c:pt>
                <c:pt idx="27">
                  <c:v>149000</c:v>
                </c:pt>
                <c:pt idx="28">
                  <c:v>164000</c:v>
                </c:pt>
                <c:pt idx="29">
                  <c:v>197000</c:v>
                </c:pt>
                <c:pt idx="30">
                  <c:v>0</c:v>
                </c:pt>
              </c:numCache>
            </c:numRef>
          </c:val>
          <c:smooth val="1"/>
          <c:extLst>
            <c:ext xmlns:c16="http://schemas.microsoft.com/office/drawing/2014/chart" uri="{C3380CC4-5D6E-409C-BE32-E72D297353CC}">
              <c16:uniqueId val="{00000001-A35A-4D87-99A9-83FAB1C10CEC}"/>
            </c:ext>
          </c:extLst>
        </c:ser>
        <c:ser>
          <c:idx val="0"/>
          <c:order val="2"/>
          <c:tx>
            <c:v>Tháng này</c:v>
          </c:tx>
          <c:spPr>
            <a:ln w="19050" cap="rnd">
              <a:solidFill>
                <a:srgbClr val="FFC000"/>
              </a:solidFill>
              <a:round/>
            </a:ln>
            <a:effectLst/>
          </c:spPr>
          <c:marker>
            <c:symbol val="circle"/>
            <c:size val="6"/>
            <c:spPr>
              <a:solidFill>
                <a:srgbClr val="F8BC2F"/>
              </a:solidFill>
              <a:ln w="9525">
                <a:noFill/>
              </a:ln>
              <a:effectLst/>
            </c:spPr>
          </c:marker>
          <c:cat>
            <c:strRef>
              <c:f>'Công thức'!$Y$3:$Y$33</c:f>
              <c:strCache>
                <c:ptCount val="30"/>
                <c:pt idx="0">
                  <c:v>01</c:v>
                </c:pt>
                <c:pt idx="1">
                  <c:v>02</c:v>
                </c:pt>
                <c:pt idx="2">
                  <c:v>03</c:v>
                </c:pt>
                <c:pt idx="3">
                  <c:v>04</c:v>
                </c:pt>
                <c:pt idx="4">
                  <c:v>05</c:v>
                </c:pt>
                <c:pt idx="5">
                  <c:v>06</c:v>
                </c:pt>
                <c:pt idx="6">
                  <c:v>07</c:v>
                </c:pt>
                <c:pt idx="7">
                  <c:v>08</c:v>
                </c:pt>
                <c:pt idx="8">
                  <c:v>09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'Công thức'!$AA$3:$AA$33</c:f>
              <c:numCache>
                <c:formatCode>_-* #,##0_-;\-* #,##0_-;_-* "-"??_-;_-@_-</c:formatCode>
                <c:ptCount val="31"/>
                <c:pt idx="0">
                  <c:v>535000</c:v>
                </c:pt>
                <c:pt idx="1">
                  <c:v>449000</c:v>
                </c:pt>
                <c:pt idx="2">
                  <c:v>595000</c:v>
                </c:pt>
                <c:pt idx="3">
                  <c:v>638000</c:v>
                </c:pt>
                <c:pt idx="4">
                  <c:v>245000</c:v>
                </c:pt>
                <c:pt idx="5">
                  <c:v>547000</c:v>
                </c:pt>
                <c:pt idx="6">
                  <c:v>445000</c:v>
                </c:pt>
                <c:pt idx="7">
                  <c:v>551000</c:v>
                </c:pt>
                <c:pt idx="8">
                  <c:v>154000</c:v>
                </c:pt>
                <c:pt idx="9">
                  <c:v>553000</c:v>
                </c:pt>
                <c:pt idx="10">
                  <c:v>425000</c:v>
                </c:pt>
                <c:pt idx="11">
                  <c:v>102000</c:v>
                </c:pt>
                <c:pt idx="12">
                  <c:v>155000</c:v>
                </c:pt>
                <c:pt idx="13">
                  <c:v>553000</c:v>
                </c:pt>
                <c:pt idx="14">
                  <c:v>153000</c:v>
                </c:pt>
                <c:pt idx="15">
                  <c:v>448000</c:v>
                </c:pt>
                <c:pt idx="16">
                  <c:v>133000</c:v>
                </c:pt>
                <c:pt idx="17">
                  <c:v>233000</c:v>
                </c:pt>
                <c:pt idx="18">
                  <c:v>100000</c:v>
                </c:pt>
                <c:pt idx="19">
                  <c:v>151000</c:v>
                </c:pt>
                <c:pt idx="20">
                  <c:v>500000</c:v>
                </c:pt>
                <c:pt idx="21">
                  <c:v>300000</c:v>
                </c:pt>
                <c:pt idx="22">
                  <c:v>#N/A</c:v>
                </c:pt>
                <c:pt idx="23">
                  <c:v>#N/A</c:v>
                </c:pt>
                <c:pt idx="24">
                  <c:v>#N/A</c:v>
                </c:pt>
                <c:pt idx="25">
                  <c:v>#N/A</c:v>
                </c:pt>
                <c:pt idx="26">
                  <c:v>#N/A</c:v>
                </c:pt>
                <c:pt idx="27">
                  <c:v>#N/A</c:v>
                </c:pt>
                <c:pt idx="28">
                  <c:v>#N/A</c:v>
                </c:pt>
                <c:pt idx="29">
                  <c:v>#N/A</c:v>
                </c:pt>
                <c:pt idx="30">
                  <c:v>#N/A</c:v>
                </c:pt>
              </c:numCache>
            </c:numRef>
          </c:val>
          <c:smooth val="1"/>
          <c:extLst>
            <c:ext xmlns:c16="http://schemas.microsoft.com/office/drawing/2014/chart" uri="{C3380CC4-5D6E-409C-BE32-E72D297353CC}">
              <c16:uniqueId val="{00000002-A35A-4D87-99A9-83FAB1C10CEC}"/>
            </c:ext>
          </c:extLst>
        </c:ser>
        <c:dLbls>
          <c:showLegendKey val="0"/>
          <c:showVal val="0"/>
          <c:showCatName val="0"/>
          <c:showSerName val="0"/>
          <c:showPercent val="0"/>
          <c:showBubbleSize val="0"/>
        </c:dLbls>
        <c:marker val="1"/>
        <c:smooth val="0"/>
        <c:axId val="1475494831"/>
        <c:axId val="1475490511"/>
      </c:lineChart>
      <c:catAx>
        <c:axId val="1475494831"/>
        <c:scaling>
          <c:orientation val="minMax"/>
        </c:scaling>
        <c:delete val="0"/>
        <c:axPos val="b"/>
        <c:numFmt formatCode="dd" sourceLinked="1"/>
        <c:majorTickMark val="out"/>
        <c:minorTickMark val="none"/>
        <c:tickLblPos val="nextTo"/>
        <c:spPr>
          <a:noFill/>
          <a:ln w="9525" cap="flat" cmpd="sng" algn="ctr">
            <a:solidFill>
              <a:srgbClr val="26ACAF"/>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490511"/>
        <c:crosses val="autoZero"/>
        <c:auto val="1"/>
        <c:lblAlgn val="ctr"/>
        <c:lblOffset val="100"/>
        <c:noMultiLvlLbl val="0"/>
      </c:catAx>
      <c:valAx>
        <c:axId val="1475490511"/>
        <c:scaling>
          <c:orientation val="minMax"/>
        </c:scaling>
        <c:delete val="0"/>
        <c:axPos val="l"/>
        <c:majorGridlines>
          <c:spPr>
            <a:ln w="9525" cap="flat" cmpd="sng" algn="ctr">
              <a:solidFill>
                <a:schemeClr val="tx1">
                  <a:lumMod val="15000"/>
                  <a:lumOff val="85000"/>
                  <a:alpha val="80000"/>
                </a:schemeClr>
              </a:solidFill>
              <a:prstDash val="dash"/>
              <a:round/>
            </a:ln>
            <a:effectLst/>
          </c:spPr>
        </c:majorGridlines>
        <c:numFmt formatCode="#0.#0,,\ \T\r" sourceLinked="0"/>
        <c:majorTickMark val="none"/>
        <c:minorTickMark val="none"/>
        <c:tickLblPos val="nextTo"/>
        <c:spPr>
          <a:noFill/>
          <a:ln>
            <a:solidFill>
              <a:srgbClr val="26ACAF"/>
            </a:solidFill>
          </a:ln>
          <a:effectLst/>
        </c:spPr>
        <c:txPr>
          <a:bodyPr rot="-60000000" spcFirstLastPara="1" vertOverflow="ellipsis" vert="horz" wrap="square" anchor="ctr" anchorCtr="1"/>
          <a:lstStyle/>
          <a:p>
            <a:pPr>
              <a:defRPr sz="900" b="0" i="0" u="none" strike="noStrike" kern="1200" baseline="0">
                <a:solidFill>
                  <a:srgbClr val="26ACAF"/>
                </a:solidFill>
                <a:latin typeface="+mn-lt"/>
                <a:ea typeface="+mn-ea"/>
                <a:cs typeface="+mn-cs"/>
              </a:defRPr>
            </a:pPr>
            <a:endParaRPr lang="en-US"/>
          </a:p>
        </c:txPr>
        <c:crossAx val="1475494831"/>
        <c:crosses val="autoZero"/>
        <c:crossBetween val="between"/>
      </c:valAx>
      <c:spPr>
        <a:noFill/>
        <a:ln>
          <a:noFill/>
        </a:ln>
        <a:effectLst/>
      </c:spPr>
    </c:plotArea>
    <c:legend>
      <c:legendPos val="b"/>
      <c:legendEntry>
        <c:idx val="0"/>
        <c:delete val="1"/>
      </c:legendEntry>
      <c:layout>
        <c:manualLayout>
          <c:xMode val="edge"/>
          <c:yMode val="edge"/>
          <c:x val="0.75619868057033413"/>
          <c:y val="0.92018024855326819"/>
          <c:w val="0.23138630914378946"/>
          <c:h val="6.777155867564747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sz="1400">
                <a:solidFill>
                  <a:schemeClr val="tx1">
                    <a:lumMod val="50000"/>
                    <a:lumOff val="50000"/>
                  </a:schemeClr>
                </a:solidFill>
              </a:rPr>
              <a:t>TỈ</a:t>
            </a:r>
            <a:r>
              <a:rPr lang="en-GB" sz="1400" baseline="0">
                <a:solidFill>
                  <a:schemeClr val="tx1">
                    <a:lumMod val="50000"/>
                    <a:lumOff val="50000"/>
                  </a:schemeClr>
                </a:solidFill>
              </a:rPr>
              <a:t> TRỌNG CÁC NHÓM CHI TIÊU</a:t>
            </a:r>
            <a:endParaRPr lang="en-GB" sz="1400">
              <a:solidFill>
                <a:schemeClr val="tx1">
                  <a:lumMod val="50000"/>
                  <a:lumOff val="50000"/>
                </a:schemeClr>
              </a:solidFill>
            </a:endParaRPr>
          </a:p>
        </c:rich>
      </c:tx>
      <c:layout>
        <c:manualLayout>
          <c:xMode val="edge"/>
          <c:yMode val="edge"/>
          <c:x val="0.22351831816762216"/>
          <c:y val="0.89256505330358804"/>
        </c:manualLayout>
      </c:layout>
      <c:overlay val="0"/>
    </c:title>
    <c:autoTitleDeleted val="0"/>
    <c:plotArea>
      <c:layout>
        <c:manualLayout>
          <c:layoutTarget val="inner"/>
          <c:xMode val="edge"/>
          <c:yMode val="edge"/>
          <c:x val="9.1196776035246688E-2"/>
          <c:y val="4.4187167011400456E-2"/>
          <c:w val="0.83740562917614891"/>
          <c:h val="0.9314001637474324"/>
        </c:manualLayout>
      </c:layout>
      <c:doughnutChart>
        <c:varyColors val="1"/>
        <c:ser>
          <c:idx val="1"/>
          <c:order val="0"/>
          <c:spPr>
            <a:ln w="0">
              <a:solidFill>
                <a:srgbClr val="0A9ECD"/>
              </a:solidFill>
            </a:ln>
          </c:spPr>
          <c:dPt>
            <c:idx val="0"/>
            <c:bubble3D val="0"/>
            <c:spPr>
              <a:solidFill>
                <a:srgbClr val="821798"/>
              </a:solidFill>
              <a:ln w="0">
                <a:solidFill>
                  <a:srgbClr val="821798"/>
                </a:solidFill>
              </a:ln>
            </c:spPr>
            <c:extLst>
              <c:ext xmlns:c16="http://schemas.microsoft.com/office/drawing/2014/chart" uri="{C3380CC4-5D6E-409C-BE32-E72D297353CC}">
                <c16:uniqueId val="{000000DE-88C2-4DB9-8F53-E24AA8E14B07}"/>
              </c:ext>
            </c:extLst>
          </c:dPt>
          <c:dPt>
            <c:idx val="1"/>
            <c:bubble3D val="0"/>
            <c:spPr>
              <a:solidFill>
                <a:srgbClr val="0A9ECD"/>
              </a:solidFill>
              <a:ln w="0">
                <a:solidFill>
                  <a:srgbClr val="0A9ECD"/>
                </a:solidFill>
              </a:ln>
            </c:spPr>
            <c:extLst>
              <c:ext xmlns:c16="http://schemas.microsoft.com/office/drawing/2014/chart" uri="{C3380CC4-5D6E-409C-BE32-E72D297353CC}">
                <c16:uniqueId val="{000000DF-88C2-4DB9-8F53-E24AA8E14B07}"/>
              </c:ext>
            </c:extLst>
          </c:dPt>
          <c:dPt>
            <c:idx val="2"/>
            <c:bubble3D val="0"/>
            <c:spPr>
              <a:solidFill>
                <a:srgbClr val="14BC89"/>
              </a:solidFill>
              <a:ln w="0">
                <a:solidFill>
                  <a:srgbClr val="14BC89"/>
                </a:solidFill>
              </a:ln>
            </c:spPr>
            <c:extLst>
              <c:ext xmlns:c16="http://schemas.microsoft.com/office/drawing/2014/chart" uri="{C3380CC4-5D6E-409C-BE32-E72D297353CC}">
                <c16:uniqueId val="{000000E0-88C2-4DB9-8F53-E24AA8E14B07}"/>
              </c:ext>
            </c:extLst>
          </c:dPt>
          <c:dPt>
            <c:idx val="3"/>
            <c:bubble3D val="0"/>
            <c:spPr>
              <a:solidFill>
                <a:srgbClr val="FF9614">
                  <a:alpha val="97647"/>
                </a:srgbClr>
              </a:solidFill>
              <a:ln w="0">
                <a:solidFill>
                  <a:srgbClr val="FF9614"/>
                </a:solidFill>
              </a:ln>
            </c:spPr>
            <c:extLst>
              <c:ext xmlns:c16="http://schemas.microsoft.com/office/drawing/2014/chart" uri="{C3380CC4-5D6E-409C-BE32-E72D297353CC}">
                <c16:uniqueId val="{000000E1-88C2-4DB9-8F53-E24AA8E14B07}"/>
              </c:ext>
            </c:extLst>
          </c:dPt>
          <c:dPt>
            <c:idx val="4"/>
            <c:bubble3D val="0"/>
            <c:spPr>
              <a:solidFill>
                <a:srgbClr val="CF1D3F"/>
              </a:solidFill>
              <a:ln w="0">
                <a:solidFill>
                  <a:srgbClr val="CF1D3F"/>
                </a:solidFill>
              </a:ln>
            </c:spPr>
            <c:extLst>
              <c:ext xmlns:c16="http://schemas.microsoft.com/office/drawing/2014/chart" uri="{C3380CC4-5D6E-409C-BE32-E72D297353CC}">
                <c16:uniqueId val="{000000E2-88C2-4DB9-8F53-E24AA8E14B07}"/>
              </c:ext>
            </c:extLst>
          </c:dPt>
          <c:cat>
            <c:strRef>
              <c:f>'Công thức'!$D$3:$D$7</c:f>
              <c:strCache>
                <c:ptCount val="5"/>
                <c:pt idx="0">
                  <c:v>Chi phí thiết yếu</c:v>
                </c:pt>
                <c:pt idx="1">
                  <c:v>Chi phí cá nhân</c:v>
                </c:pt>
                <c:pt idx="2">
                  <c:v>Giải trí và xã hội</c:v>
                </c:pt>
                <c:pt idx="3">
                  <c:v>Tiết kiệm, đầu tư</c:v>
                </c:pt>
                <c:pt idx="4">
                  <c:v>Quà tặng, hiếu, hỉ</c:v>
                </c:pt>
              </c:strCache>
            </c:strRef>
          </c:cat>
          <c:val>
            <c:numRef>
              <c:f>'Công thức'!$E$3:$E$7</c:f>
              <c:numCache>
                <c:formatCode>#,##0\ [$ đ]</c:formatCode>
                <c:ptCount val="5"/>
                <c:pt idx="0">
                  <c:v>2900000</c:v>
                </c:pt>
                <c:pt idx="1">
                  <c:v>2619000</c:v>
                </c:pt>
                <c:pt idx="2">
                  <c:v>1765000</c:v>
                </c:pt>
                <c:pt idx="3">
                  <c:v>1500000</c:v>
                </c:pt>
                <c:pt idx="4">
                  <c:v>150000</c:v>
                </c:pt>
              </c:numCache>
            </c:numRef>
          </c:val>
          <c:extLst>
            <c:ext xmlns:c16="http://schemas.microsoft.com/office/drawing/2014/chart" uri="{C3380CC4-5D6E-409C-BE32-E72D297353CC}">
              <c16:uniqueId val="{000000DD-88C2-4DB9-8F53-E24AA8E14B07}"/>
            </c:ext>
          </c:extLst>
        </c:ser>
        <c:ser>
          <c:idx val="2"/>
          <c:order val="1"/>
          <c:spPr>
            <a:ln w="0">
              <a:solidFill>
                <a:srgbClr val="AB3DC4"/>
              </a:solidFill>
            </a:ln>
          </c:spPr>
          <c:dPt>
            <c:idx val="0"/>
            <c:bubble3D val="0"/>
            <c:spPr>
              <a:solidFill>
                <a:srgbClr val="AB3DC4"/>
              </a:solidFill>
              <a:ln w="0">
                <a:solidFill>
                  <a:srgbClr val="AB3DC4"/>
                </a:solidFill>
              </a:ln>
              <a:effectLst/>
            </c:spPr>
            <c:extLst>
              <c:ext xmlns:c16="http://schemas.microsoft.com/office/drawing/2014/chart" uri="{C3380CC4-5D6E-409C-BE32-E72D297353CC}">
                <c16:uniqueId val="{000000E4-88C2-4DB9-8F53-E24AA8E14B07}"/>
              </c:ext>
            </c:extLst>
          </c:dPt>
          <c:dPt>
            <c:idx val="1"/>
            <c:bubble3D val="0"/>
            <c:spPr>
              <a:solidFill>
                <a:srgbClr val="0CB1F1"/>
              </a:solidFill>
              <a:ln w="0">
                <a:solidFill>
                  <a:srgbClr val="0CB1F1"/>
                </a:solidFill>
              </a:ln>
              <a:effectLst/>
            </c:spPr>
            <c:extLst>
              <c:ext xmlns:c16="http://schemas.microsoft.com/office/drawing/2014/chart" uri="{C3380CC4-5D6E-409C-BE32-E72D297353CC}">
                <c16:uniqueId val="{000000E5-88C2-4DB9-8F53-E24AA8E14B07}"/>
              </c:ext>
            </c:extLst>
          </c:dPt>
          <c:dPt>
            <c:idx val="2"/>
            <c:bubble3D val="0"/>
            <c:spPr>
              <a:solidFill>
                <a:srgbClr val="1FD7A5"/>
              </a:solidFill>
              <a:ln w="0">
                <a:solidFill>
                  <a:srgbClr val="1FD7A5"/>
                </a:solidFill>
              </a:ln>
              <a:effectLst/>
            </c:spPr>
            <c:extLst>
              <c:ext xmlns:c16="http://schemas.microsoft.com/office/drawing/2014/chart" uri="{C3380CC4-5D6E-409C-BE32-E72D297353CC}">
                <c16:uniqueId val="{000000E6-88C2-4DB9-8F53-E24AA8E14B07}"/>
              </c:ext>
            </c:extLst>
          </c:dPt>
          <c:dPt>
            <c:idx val="3"/>
            <c:bubble3D val="0"/>
            <c:spPr>
              <a:solidFill>
                <a:srgbClr val="F8BC2F"/>
              </a:solidFill>
              <a:ln w="0">
                <a:solidFill>
                  <a:srgbClr val="F8BC2F"/>
                </a:solidFill>
              </a:ln>
              <a:effectLst/>
            </c:spPr>
            <c:extLst>
              <c:ext xmlns:c16="http://schemas.microsoft.com/office/drawing/2014/chart" uri="{C3380CC4-5D6E-409C-BE32-E72D297353CC}">
                <c16:uniqueId val="{000000E7-88C2-4DB9-8F53-E24AA8E14B07}"/>
              </c:ext>
            </c:extLst>
          </c:dPt>
          <c:dPt>
            <c:idx val="4"/>
            <c:bubble3D val="0"/>
            <c:spPr>
              <a:solidFill>
                <a:srgbClr val="EC3957"/>
              </a:solidFill>
              <a:ln w="0">
                <a:solidFill>
                  <a:srgbClr val="EC3957"/>
                </a:solidFill>
              </a:ln>
              <a:effectLst/>
            </c:spPr>
            <c:extLst>
              <c:ext xmlns:c16="http://schemas.microsoft.com/office/drawing/2014/chart" uri="{C3380CC4-5D6E-409C-BE32-E72D297353CC}">
                <c16:uniqueId val="{000000E8-88C2-4DB9-8F53-E24AA8E14B07}"/>
              </c:ext>
            </c:extLst>
          </c:dPt>
          <c:cat>
            <c:strRef>
              <c:f>'Công thức'!$D$3:$D$7</c:f>
              <c:strCache>
                <c:ptCount val="5"/>
                <c:pt idx="0">
                  <c:v>Chi phí thiết yếu</c:v>
                </c:pt>
                <c:pt idx="1">
                  <c:v>Chi phí cá nhân</c:v>
                </c:pt>
                <c:pt idx="2">
                  <c:v>Giải trí và xã hội</c:v>
                </c:pt>
                <c:pt idx="3">
                  <c:v>Tiết kiệm, đầu tư</c:v>
                </c:pt>
                <c:pt idx="4">
                  <c:v>Quà tặng, hiếu, hỉ</c:v>
                </c:pt>
              </c:strCache>
            </c:strRef>
          </c:cat>
          <c:val>
            <c:numRef>
              <c:f>'Công thức'!$E$3:$E$7</c:f>
              <c:numCache>
                <c:formatCode>#,##0\ [$ đ]</c:formatCode>
                <c:ptCount val="5"/>
                <c:pt idx="0">
                  <c:v>2900000</c:v>
                </c:pt>
                <c:pt idx="1">
                  <c:v>2619000</c:v>
                </c:pt>
                <c:pt idx="2">
                  <c:v>1765000</c:v>
                </c:pt>
                <c:pt idx="3">
                  <c:v>1500000</c:v>
                </c:pt>
                <c:pt idx="4">
                  <c:v>150000</c:v>
                </c:pt>
              </c:numCache>
            </c:numRef>
          </c:val>
          <c:extLst>
            <c:ext xmlns:c16="http://schemas.microsoft.com/office/drawing/2014/chart" uri="{C3380CC4-5D6E-409C-BE32-E72D297353CC}">
              <c16:uniqueId val="{000000E3-88C2-4DB9-8F53-E24AA8E14B07}"/>
            </c:ext>
          </c:extLst>
        </c:ser>
        <c:ser>
          <c:idx val="3"/>
          <c:order val="2"/>
          <c:spPr>
            <a:ln w="0">
              <a:solidFill>
                <a:srgbClr val="AB3DC4"/>
              </a:solidFill>
            </a:ln>
          </c:spPr>
          <c:dPt>
            <c:idx val="0"/>
            <c:bubble3D val="0"/>
            <c:spPr>
              <a:solidFill>
                <a:srgbClr val="AB3DC4"/>
              </a:solidFill>
              <a:ln w="0">
                <a:solidFill>
                  <a:srgbClr val="AB3DC4"/>
                </a:solidFill>
              </a:ln>
              <a:effectLst/>
            </c:spPr>
            <c:extLst>
              <c:ext xmlns:c16="http://schemas.microsoft.com/office/drawing/2014/chart" uri="{C3380CC4-5D6E-409C-BE32-E72D297353CC}">
                <c16:uniqueId val="{000000EA-88C2-4DB9-8F53-E24AA8E14B07}"/>
              </c:ext>
            </c:extLst>
          </c:dPt>
          <c:dPt>
            <c:idx val="1"/>
            <c:bubble3D val="0"/>
            <c:spPr>
              <a:solidFill>
                <a:srgbClr val="0CB1F1"/>
              </a:solidFill>
              <a:ln w="0">
                <a:solidFill>
                  <a:srgbClr val="0CB1F1"/>
                </a:solidFill>
              </a:ln>
              <a:effectLst/>
            </c:spPr>
            <c:extLst>
              <c:ext xmlns:c16="http://schemas.microsoft.com/office/drawing/2014/chart" uri="{C3380CC4-5D6E-409C-BE32-E72D297353CC}">
                <c16:uniqueId val="{000000EB-88C2-4DB9-8F53-E24AA8E14B07}"/>
              </c:ext>
            </c:extLst>
          </c:dPt>
          <c:dPt>
            <c:idx val="2"/>
            <c:bubble3D val="0"/>
            <c:spPr>
              <a:solidFill>
                <a:srgbClr val="1FD7A5"/>
              </a:solidFill>
              <a:ln w="0">
                <a:solidFill>
                  <a:srgbClr val="1FD7A5"/>
                </a:solidFill>
              </a:ln>
              <a:effectLst/>
            </c:spPr>
            <c:extLst>
              <c:ext xmlns:c16="http://schemas.microsoft.com/office/drawing/2014/chart" uri="{C3380CC4-5D6E-409C-BE32-E72D297353CC}">
                <c16:uniqueId val="{000000EC-88C2-4DB9-8F53-E24AA8E14B07}"/>
              </c:ext>
            </c:extLst>
          </c:dPt>
          <c:dPt>
            <c:idx val="3"/>
            <c:bubble3D val="0"/>
            <c:spPr>
              <a:solidFill>
                <a:srgbClr val="F8BC2F"/>
              </a:solidFill>
              <a:ln w="0">
                <a:solidFill>
                  <a:srgbClr val="F8BC2F"/>
                </a:solidFill>
              </a:ln>
              <a:effectLst/>
            </c:spPr>
            <c:extLst>
              <c:ext xmlns:c16="http://schemas.microsoft.com/office/drawing/2014/chart" uri="{C3380CC4-5D6E-409C-BE32-E72D297353CC}">
                <c16:uniqueId val="{000000ED-88C2-4DB9-8F53-E24AA8E14B07}"/>
              </c:ext>
            </c:extLst>
          </c:dPt>
          <c:dPt>
            <c:idx val="4"/>
            <c:bubble3D val="0"/>
            <c:spPr>
              <a:solidFill>
                <a:srgbClr val="EC3957"/>
              </a:solidFill>
              <a:ln w="0">
                <a:solidFill>
                  <a:srgbClr val="EC3957"/>
                </a:solidFill>
              </a:ln>
              <a:effectLst/>
            </c:spPr>
            <c:extLst>
              <c:ext xmlns:c16="http://schemas.microsoft.com/office/drawing/2014/chart" uri="{C3380CC4-5D6E-409C-BE32-E72D297353CC}">
                <c16:uniqueId val="{000000EE-88C2-4DB9-8F53-E24AA8E14B07}"/>
              </c:ext>
            </c:extLst>
          </c:dPt>
          <c:cat>
            <c:strRef>
              <c:f>'Công thức'!$D$3:$D$7</c:f>
              <c:strCache>
                <c:ptCount val="5"/>
                <c:pt idx="0">
                  <c:v>Chi phí thiết yếu</c:v>
                </c:pt>
                <c:pt idx="1">
                  <c:v>Chi phí cá nhân</c:v>
                </c:pt>
                <c:pt idx="2">
                  <c:v>Giải trí và xã hội</c:v>
                </c:pt>
                <c:pt idx="3">
                  <c:v>Tiết kiệm, đầu tư</c:v>
                </c:pt>
                <c:pt idx="4">
                  <c:v>Quà tặng, hiếu, hỉ</c:v>
                </c:pt>
              </c:strCache>
            </c:strRef>
          </c:cat>
          <c:val>
            <c:numRef>
              <c:f>'Công thức'!$E$3:$E$7</c:f>
              <c:numCache>
                <c:formatCode>#,##0\ [$ đ]</c:formatCode>
                <c:ptCount val="5"/>
                <c:pt idx="0">
                  <c:v>2900000</c:v>
                </c:pt>
                <c:pt idx="1">
                  <c:v>2619000</c:v>
                </c:pt>
                <c:pt idx="2">
                  <c:v>1765000</c:v>
                </c:pt>
                <c:pt idx="3">
                  <c:v>1500000</c:v>
                </c:pt>
                <c:pt idx="4">
                  <c:v>150000</c:v>
                </c:pt>
              </c:numCache>
            </c:numRef>
          </c:val>
          <c:extLst>
            <c:ext xmlns:c16="http://schemas.microsoft.com/office/drawing/2014/chart" uri="{C3380CC4-5D6E-409C-BE32-E72D297353CC}">
              <c16:uniqueId val="{000000E9-88C2-4DB9-8F53-E24AA8E14B07}"/>
            </c:ext>
          </c:extLst>
        </c:ser>
        <c:ser>
          <c:idx val="4"/>
          <c:order val="3"/>
          <c:spPr>
            <a:ln w="0">
              <a:solidFill>
                <a:srgbClr val="AB3DC4"/>
              </a:solidFill>
            </a:ln>
          </c:spPr>
          <c:dPt>
            <c:idx val="0"/>
            <c:bubble3D val="0"/>
            <c:spPr>
              <a:solidFill>
                <a:srgbClr val="AB3DC4"/>
              </a:solidFill>
              <a:ln w="0">
                <a:solidFill>
                  <a:srgbClr val="AB3DC4"/>
                </a:solidFill>
              </a:ln>
              <a:effectLst/>
            </c:spPr>
            <c:extLst>
              <c:ext xmlns:c16="http://schemas.microsoft.com/office/drawing/2014/chart" uri="{C3380CC4-5D6E-409C-BE32-E72D297353CC}">
                <c16:uniqueId val="{000000F0-88C2-4DB9-8F53-E24AA8E14B07}"/>
              </c:ext>
            </c:extLst>
          </c:dPt>
          <c:dPt>
            <c:idx val="1"/>
            <c:bubble3D val="0"/>
            <c:spPr>
              <a:solidFill>
                <a:srgbClr val="0CB1F1"/>
              </a:solidFill>
              <a:ln w="0" cap="rnd">
                <a:solidFill>
                  <a:srgbClr val="0CB1F1"/>
                </a:solidFill>
              </a:ln>
              <a:effectLst/>
            </c:spPr>
            <c:extLst>
              <c:ext xmlns:c16="http://schemas.microsoft.com/office/drawing/2014/chart" uri="{C3380CC4-5D6E-409C-BE32-E72D297353CC}">
                <c16:uniqueId val="{000000F1-88C2-4DB9-8F53-E24AA8E14B07}"/>
              </c:ext>
            </c:extLst>
          </c:dPt>
          <c:dPt>
            <c:idx val="2"/>
            <c:bubble3D val="0"/>
            <c:spPr>
              <a:solidFill>
                <a:srgbClr val="1FD7A5"/>
              </a:solidFill>
              <a:ln w="0">
                <a:solidFill>
                  <a:srgbClr val="1FD7A5"/>
                </a:solidFill>
              </a:ln>
              <a:effectLst/>
            </c:spPr>
            <c:extLst>
              <c:ext xmlns:c16="http://schemas.microsoft.com/office/drawing/2014/chart" uri="{C3380CC4-5D6E-409C-BE32-E72D297353CC}">
                <c16:uniqueId val="{000000F2-88C2-4DB9-8F53-E24AA8E14B07}"/>
              </c:ext>
            </c:extLst>
          </c:dPt>
          <c:dPt>
            <c:idx val="3"/>
            <c:bubble3D val="0"/>
            <c:spPr>
              <a:solidFill>
                <a:srgbClr val="F8BC2F"/>
              </a:solidFill>
              <a:ln w="0">
                <a:solidFill>
                  <a:srgbClr val="F8BC2F"/>
                </a:solidFill>
              </a:ln>
              <a:effectLst/>
            </c:spPr>
            <c:extLst>
              <c:ext xmlns:c16="http://schemas.microsoft.com/office/drawing/2014/chart" uri="{C3380CC4-5D6E-409C-BE32-E72D297353CC}">
                <c16:uniqueId val="{000000F3-88C2-4DB9-8F53-E24AA8E14B07}"/>
              </c:ext>
            </c:extLst>
          </c:dPt>
          <c:dPt>
            <c:idx val="4"/>
            <c:bubble3D val="0"/>
            <c:spPr>
              <a:solidFill>
                <a:srgbClr val="EC3957"/>
              </a:solidFill>
              <a:ln w="0">
                <a:solidFill>
                  <a:srgbClr val="EC3957"/>
                </a:solidFill>
              </a:ln>
              <a:effectLst/>
            </c:spPr>
            <c:extLst>
              <c:ext xmlns:c16="http://schemas.microsoft.com/office/drawing/2014/chart" uri="{C3380CC4-5D6E-409C-BE32-E72D297353CC}">
                <c16:uniqueId val="{000000F4-88C2-4DB9-8F53-E24AA8E14B07}"/>
              </c:ext>
            </c:extLst>
          </c:dPt>
          <c:cat>
            <c:strRef>
              <c:f>'Công thức'!$D$3:$D$7</c:f>
              <c:strCache>
                <c:ptCount val="5"/>
                <c:pt idx="0">
                  <c:v>Chi phí thiết yếu</c:v>
                </c:pt>
                <c:pt idx="1">
                  <c:v>Chi phí cá nhân</c:v>
                </c:pt>
                <c:pt idx="2">
                  <c:v>Giải trí và xã hội</c:v>
                </c:pt>
                <c:pt idx="3">
                  <c:v>Tiết kiệm, đầu tư</c:v>
                </c:pt>
                <c:pt idx="4">
                  <c:v>Quà tặng, hiếu, hỉ</c:v>
                </c:pt>
              </c:strCache>
            </c:strRef>
          </c:cat>
          <c:val>
            <c:numRef>
              <c:f>'Công thức'!$E$3:$E$7</c:f>
              <c:numCache>
                <c:formatCode>#,##0\ [$ đ]</c:formatCode>
                <c:ptCount val="5"/>
                <c:pt idx="0">
                  <c:v>2900000</c:v>
                </c:pt>
                <c:pt idx="1">
                  <c:v>2619000</c:v>
                </c:pt>
                <c:pt idx="2">
                  <c:v>1765000</c:v>
                </c:pt>
                <c:pt idx="3">
                  <c:v>1500000</c:v>
                </c:pt>
                <c:pt idx="4">
                  <c:v>150000</c:v>
                </c:pt>
              </c:numCache>
            </c:numRef>
          </c:val>
          <c:extLst>
            <c:ext xmlns:c16="http://schemas.microsoft.com/office/drawing/2014/chart" uri="{C3380CC4-5D6E-409C-BE32-E72D297353CC}">
              <c16:uniqueId val="{000000EF-88C2-4DB9-8F53-E24AA8E14B07}"/>
            </c:ext>
          </c:extLst>
        </c:ser>
        <c:ser>
          <c:idx val="5"/>
          <c:order val="4"/>
          <c:spPr>
            <a:ln w="0">
              <a:solidFill>
                <a:srgbClr val="AB3DC4"/>
              </a:solidFill>
            </a:ln>
          </c:spPr>
          <c:dPt>
            <c:idx val="0"/>
            <c:bubble3D val="0"/>
            <c:spPr>
              <a:solidFill>
                <a:srgbClr val="AB3DC4"/>
              </a:solidFill>
              <a:ln w="0">
                <a:solidFill>
                  <a:srgbClr val="AB3DC4"/>
                </a:solidFill>
              </a:ln>
              <a:effectLst>
                <a:outerShdw blurRad="50800" dist="38100" dir="2700000" algn="tl" rotWithShape="0">
                  <a:prstClr val="black">
                    <a:alpha val="25000"/>
                  </a:prstClr>
                </a:outerShdw>
              </a:effectLst>
            </c:spPr>
            <c:extLst>
              <c:ext xmlns:c16="http://schemas.microsoft.com/office/drawing/2014/chart" uri="{C3380CC4-5D6E-409C-BE32-E72D297353CC}">
                <c16:uniqueId val="{000000F6-88C2-4DB9-8F53-E24AA8E14B07}"/>
              </c:ext>
            </c:extLst>
          </c:dPt>
          <c:dPt>
            <c:idx val="1"/>
            <c:bubble3D val="0"/>
            <c:spPr>
              <a:solidFill>
                <a:srgbClr val="0CB1F1"/>
              </a:solidFill>
              <a:ln w="0">
                <a:solidFill>
                  <a:srgbClr val="0CB1F1"/>
                </a:solidFill>
              </a:ln>
              <a:effectLst/>
            </c:spPr>
            <c:extLst>
              <c:ext xmlns:c16="http://schemas.microsoft.com/office/drawing/2014/chart" uri="{C3380CC4-5D6E-409C-BE32-E72D297353CC}">
                <c16:uniqueId val="{000000F7-88C2-4DB9-8F53-E24AA8E14B07}"/>
              </c:ext>
            </c:extLst>
          </c:dPt>
          <c:dPt>
            <c:idx val="2"/>
            <c:bubble3D val="0"/>
            <c:spPr>
              <a:solidFill>
                <a:srgbClr val="1FD7A5"/>
              </a:solidFill>
              <a:ln w="0">
                <a:solidFill>
                  <a:srgbClr val="1FD7A5"/>
                </a:solidFill>
              </a:ln>
              <a:effectLst/>
            </c:spPr>
            <c:extLst>
              <c:ext xmlns:c16="http://schemas.microsoft.com/office/drawing/2014/chart" uri="{C3380CC4-5D6E-409C-BE32-E72D297353CC}">
                <c16:uniqueId val="{000000F8-88C2-4DB9-8F53-E24AA8E14B07}"/>
              </c:ext>
            </c:extLst>
          </c:dPt>
          <c:dPt>
            <c:idx val="3"/>
            <c:bubble3D val="0"/>
            <c:spPr>
              <a:solidFill>
                <a:srgbClr val="F8BC2F"/>
              </a:solidFill>
              <a:ln w="0">
                <a:solidFill>
                  <a:srgbClr val="F8BC2F"/>
                </a:solidFill>
              </a:ln>
              <a:effectLst>
                <a:outerShdw blurRad="50800" dist="38100" dir="2700000" algn="tl" rotWithShape="0">
                  <a:prstClr val="black">
                    <a:alpha val="25000"/>
                  </a:prstClr>
                </a:outerShdw>
              </a:effectLst>
            </c:spPr>
            <c:extLst>
              <c:ext xmlns:c16="http://schemas.microsoft.com/office/drawing/2014/chart" uri="{C3380CC4-5D6E-409C-BE32-E72D297353CC}">
                <c16:uniqueId val="{000000F9-88C2-4DB9-8F53-E24AA8E14B07}"/>
              </c:ext>
            </c:extLst>
          </c:dPt>
          <c:dPt>
            <c:idx val="4"/>
            <c:bubble3D val="0"/>
            <c:spPr>
              <a:noFill/>
              <a:ln w="0">
                <a:noFill/>
              </a:ln>
              <a:effectLst/>
            </c:spPr>
            <c:extLst>
              <c:ext xmlns:c16="http://schemas.microsoft.com/office/drawing/2014/chart" uri="{C3380CC4-5D6E-409C-BE32-E72D297353CC}">
                <c16:uniqueId val="{000000FA-88C2-4DB9-8F53-E24AA8E14B07}"/>
              </c:ext>
            </c:extLst>
          </c:dPt>
          <c:cat>
            <c:strRef>
              <c:f>'Công thức'!$D$3:$D$7</c:f>
              <c:strCache>
                <c:ptCount val="5"/>
                <c:pt idx="0">
                  <c:v>Chi phí thiết yếu</c:v>
                </c:pt>
                <c:pt idx="1">
                  <c:v>Chi phí cá nhân</c:v>
                </c:pt>
                <c:pt idx="2">
                  <c:v>Giải trí và xã hội</c:v>
                </c:pt>
                <c:pt idx="3">
                  <c:v>Tiết kiệm, đầu tư</c:v>
                </c:pt>
                <c:pt idx="4">
                  <c:v>Quà tặng, hiếu, hỉ</c:v>
                </c:pt>
              </c:strCache>
            </c:strRef>
          </c:cat>
          <c:val>
            <c:numRef>
              <c:f>'Công thức'!$E$3:$E$7</c:f>
              <c:numCache>
                <c:formatCode>#,##0\ [$ đ]</c:formatCode>
                <c:ptCount val="5"/>
                <c:pt idx="0">
                  <c:v>2900000</c:v>
                </c:pt>
                <c:pt idx="1">
                  <c:v>2619000</c:v>
                </c:pt>
                <c:pt idx="2">
                  <c:v>1765000</c:v>
                </c:pt>
                <c:pt idx="3">
                  <c:v>1500000</c:v>
                </c:pt>
                <c:pt idx="4">
                  <c:v>150000</c:v>
                </c:pt>
              </c:numCache>
            </c:numRef>
          </c:val>
          <c:extLst>
            <c:ext xmlns:c16="http://schemas.microsoft.com/office/drawing/2014/chart" uri="{C3380CC4-5D6E-409C-BE32-E72D297353CC}">
              <c16:uniqueId val="{000000F5-88C2-4DB9-8F53-E24AA8E14B07}"/>
            </c:ext>
          </c:extLst>
        </c:ser>
        <c:ser>
          <c:idx val="6"/>
          <c:order val="5"/>
          <c:spPr>
            <a:ln w="0">
              <a:solidFill>
                <a:srgbClr val="AB3DC4"/>
              </a:solidFill>
            </a:ln>
          </c:spPr>
          <c:dPt>
            <c:idx val="0"/>
            <c:bubble3D val="0"/>
            <c:spPr>
              <a:solidFill>
                <a:srgbClr val="AB3DC4"/>
              </a:solidFill>
              <a:ln w="0">
                <a:solidFill>
                  <a:srgbClr val="AB3DC4"/>
                </a:solidFill>
              </a:ln>
              <a:effectLst>
                <a:outerShdw blurRad="50800" dist="38100" dir="2700000" algn="tl" rotWithShape="0">
                  <a:prstClr val="black">
                    <a:alpha val="25000"/>
                  </a:prstClr>
                </a:outerShdw>
              </a:effectLst>
            </c:spPr>
            <c:extLst>
              <c:ext xmlns:c16="http://schemas.microsoft.com/office/drawing/2014/chart" uri="{C3380CC4-5D6E-409C-BE32-E72D297353CC}">
                <c16:uniqueId val="{000000FC-88C2-4DB9-8F53-E24AA8E14B07}"/>
              </c:ext>
            </c:extLst>
          </c:dPt>
          <c:dPt>
            <c:idx val="1"/>
            <c:bubble3D val="0"/>
            <c:spPr>
              <a:solidFill>
                <a:srgbClr val="0CB1F1"/>
              </a:solidFill>
              <a:ln w="0">
                <a:solidFill>
                  <a:srgbClr val="0CB1F1"/>
                </a:solidFill>
              </a:ln>
              <a:effectLst>
                <a:outerShdw blurRad="50800" dist="38100" dir="2700000" algn="tl" rotWithShape="0">
                  <a:prstClr val="black">
                    <a:alpha val="25000"/>
                  </a:prstClr>
                </a:outerShdw>
              </a:effectLst>
            </c:spPr>
            <c:extLst>
              <c:ext xmlns:c16="http://schemas.microsoft.com/office/drawing/2014/chart" uri="{C3380CC4-5D6E-409C-BE32-E72D297353CC}">
                <c16:uniqueId val="{000000FD-88C2-4DB9-8F53-E24AA8E14B07}"/>
              </c:ext>
            </c:extLst>
          </c:dPt>
          <c:dPt>
            <c:idx val="2"/>
            <c:bubble3D val="0"/>
            <c:spPr>
              <a:solidFill>
                <a:srgbClr val="1FD7A5"/>
              </a:solidFill>
              <a:ln w="0">
                <a:solidFill>
                  <a:srgbClr val="1FD7A5"/>
                </a:solidFill>
              </a:ln>
              <a:effectLst>
                <a:outerShdw blurRad="50800" dist="38100" dir="2700000" algn="tl" rotWithShape="0">
                  <a:prstClr val="black">
                    <a:alpha val="25000"/>
                  </a:prstClr>
                </a:outerShdw>
              </a:effectLst>
            </c:spPr>
            <c:extLst>
              <c:ext xmlns:c16="http://schemas.microsoft.com/office/drawing/2014/chart" uri="{C3380CC4-5D6E-409C-BE32-E72D297353CC}">
                <c16:uniqueId val="{000000FE-88C2-4DB9-8F53-E24AA8E14B07}"/>
              </c:ext>
            </c:extLst>
          </c:dPt>
          <c:dPt>
            <c:idx val="3"/>
            <c:bubble3D val="0"/>
            <c:spPr>
              <a:noFill/>
              <a:ln w="0">
                <a:noFill/>
              </a:ln>
              <a:effectLst/>
            </c:spPr>
            <c:extLst>
              <c:ext xmlns:c16="http://schemas.microsoft.com/office/drawing/2014/chart" uri="{C3380CC4-5D6E-409C-BE32-E72D297353CC}">
                <c16:uniqueId val="{000000FF-88C2-4DB9-8F53-E24AA8E14B07}"/>
              </c:ext>
            </c:extLst>
          </c:dPt>
          <c:dPt>
            <c:idx val="4"/>
            <c:bubble3D val="0"/>
            <c:spPr>
              <a:noFill/>
              <a:ln w="0">
                <a:noFill/>
              </a:ln>
              <a:effectLst/>
            </c:spPr>
            <c:extLst>
              <c:ext xmlns:c16="http://schemas.microsoft.com/office/drawing/2014/chart" uri="{C3380CC4-5D6E-409C-BE32-E72D297353CC}">
                <c16:uniqueId val="{00000100-88C2-4DB9-8F53-E24AA8E14B07}"/>
              </c:ext>
            </c:extLst>
          </c:dPt>
          <c:cat>
            <c:strRef>
              <c:f>'Công thức'!$D$3:$D$7</c:f>
              <c:strCache>
                <c:ptCount val="5"/>
                <c:pt idx="0">
                  <c:v>Chi phí thiết yếu</c:v>
                </c:pt>
                <c:pt idx="1">
                  <c:v>Chi phí cá nhân</c:v>
                </c:pt>
                <c:pt idx="2">
                  <c:v>Giải trí và xã hội</c:v>
                </c:pt>
                <c:pt idx="3">
                  <c:v>Tiết kiệm, đầu tư</c:v>
                </c:pt>
                <c:pt idx="4">
                  <c:v>Quà tặng, hiếu, hỉ</c:v>
                </c:pt>
              </c:strCache>
            </c:strRef>
          </c:cat>
          <c:val>
            <c:numRef>
              <c:f>'Công thức'!$E$3:$E$7</c:f>
              <c:numCache>
                <c:formatCode>#,##0\ [$ đ]</c:formatCode>
                <c:ptCount val="5"/>
                <c:pt idx="0">
                  <c:v>2900000</c:v>
                </c:pt>
                <c:pt idx="1">
                  <c:v>2619000</c:v>
                </c:pt>
                <c:pt idx="2">
                  <c:v>1765000</c:v>
                </c:pt>
                <c:pt idx="3">
                  <c:v>1500000</c:v>
                </c:pt>
                <c:pt idx="4">
                  <c:v>150000</c:v>
                </c:pt>
              </c:numCache>
            </c:numRef>
          </c:val>
          <c:extLst>
            <c:ext xmlns:c16="http://schemas.microsoft.com/office/drawing/2014/chart" uri="{C3380CC4-5D6E-409C-BE32-E72D297353CC}">
              <c16:uniqueId val="{000000FB-88C2-4DB9-8F53-E24AA8E14B07}"/>
            </c:ext>
          </c:extLst>
        </c:ser>
        <c:ser>
          <c:idx val="7"/>
          <c:order val="6"/>
          <c:spPr>
            <a:ln w="0">
              <a:solidFill>
                <a:srgbClr val="AB3DC4"/>
              </a:solidFill>
            </a:ln>
          </c:spPr>
          <c:dPt>
            <c:idx val="0"/>
            <c:bubble3D val="0"/>
            <c:spPr>
              <a:solidFill>
                <a:srgbClr val="AB3DC4"/>
              </a:solidFill>
              <a:ln w="0">
                <a:solidFill>
                  <a:srgbClr val="AB3DC4"/>
                </a:solidFill>
              </a:ln>
              <a:effectLst>
                <a:outerShdw blurRad="50800" dist="38100" dir="2700000" algn="tl" rotWithShape="0">
                  <a:prstClr val="black">
                    <a:alpha val="25000"/>
                  </a:prstClr>
                </a:outerShdw>
              </a:effectLst>
            </c:spPr>
            <c:extLst>
              <c:ext xmlns:c16="http://schemas.microsoft.com/office/drawing/2014/chart" uri="{C3380CC4-5D6E-409C-BE32-E72D297353CC}">
                <c16:uniqueId val="{00000102-88C2-4DB9-8F53-E24AA8E14B07}"/>
              </c:ext>
            </c:extLst>
          </c:dPt>
          <c:dPt>
            <c:idx val="1"/>
            <c:bubble3D val="0"/>
            <c:spPr>
              <a:solidFill>
                <a:srgbClr val="0CB1F1"/>
              </a:solidFill>
              <a:ln w="0">
                <a:solidFill>
                  <a:srgbClr val="0CB1F1"/>
                </a:solidFill>
              </a:ln>
              <a:effectLst>
                <a:outerShdw blurRad="50800" dist="38100" dir="2700000" algn="tl" rotWithShape="0">
                  <a:prstClr val="black">
                    <a:alpha val="25000"/>
                  </a:prstClr>
                </a:outerShdw>
              </a:effectLst>
            </c:spPr>
            <c:extLst>
              <c:ext xmlns:c16="http://schemas.microsoft.com/office/drawing/2014/chart" uri="{C3380CC4-5D6E-409C-BE32-E72D297353CC}">
                <c16:uniqueId val="{00000103-88C2-4DB9-8F53-E24AA8E14B07}"/>
              </c:ext>
            </c:extLst>
          </c:dPt>
          <c:dPt>
            <c:idx val="2"/>
            <c:bubble3D val="0"/>
            <c:spPr>
              <a:noFill/>
              <a:ln w="0">
                <a:noFill/>
              </a:ln>
              <a:effectLst/>
            </c:spPr>
            <c:extLst>
              <c:ext xmlns:c16="http://schemas.microsoft.com/office/drawing/2014/chart" uri="{C3380CC4-5D6E-409C-BE32-E72D297353CC}">
                <c16:uniqueId val="{00000104-88C2-4DB9-8F53-E24AA8E14B07}"/>
              </c:ext>
            </c:extLst>
          </c:dPt>
          <c:dPt>
            <c:idx val="3"/>
            <c:bubble3D val="0"/>
            <c:spPr>
              <a:noFill/>
              <a:ln w="0">
                <a:noFill/>
              </a:ln>
              <a:effectLst/>
            </c:spPr>
            <c:extLst>
              <c:ext xmlns:c16="http://schemas.microsoft.com/office/drawing/2014/chart" uri="{C3380CC4-5D6E-409C-BE32-E72D297353CC}">
                <c16:uniqueId val="{00000105-88C2-4DB9-8F53-E24AA8E14B07}"/>
              </c:ext>
            </c:extLst>
          </c:dPt>
          <c:dPt>
            <c:idx val="4"/>
            <c:bubble3D val="0"/>
            <c:spPr>
              <a:noFill/>
              <a:ln w="0">
                <a:noFill/>
              </a:ln>
              <a:effectLst/>
            </c:spPr>
            <c:extLst>
              <c:ext xmlns:c16="http://schemas.microsoft.com/office/drawing/2014/chart" uri="{C3380CC4-5D6E-409C-BE32-E72D297353CC}">
                <c16:uniqueId val="{00000106-88C2-4DB9-8F53-E24AA8E14B07}"/>
              </c:ext>
            </c:extLst>
          </c:dPt>
          <c:cat>
            <c:strRef>
              <c:f>'Công thức'!$D$3:$D$7</c:f>
              <c:strCache>
                <c:ptCount val="5"/>
                <c:pt idx="0">
                  <c:v>Chi phí thiết yếu</c:v>
                </c:pt>
                <c:pt idx="1">
                  <c:v>Chi phí cá nhân</c:v>
                </c:pt>
                <c:pt idx="2">
                  <c:v>Giải trí và xã hội</c:v>
                </c:pt>
                <c:pt idx="3">
                  <c:v>Tiết kiệm, đầu tư</c:v>
                </c:pt>
                <c:pt idx="4">
                  <c:v>Quà tặng, hiếu, hỉ</c:v>
                </c:pt>
              </c:strCache>
            </c:strRef>
          </c:cat>
          <c:val>
            <c:numRef>
              <c:f>'Công thức'!$E$3:$E$7</c:f>
              <c:numCache>
                <c:formatCode>#,##0\ [$ đ]</c:formatCode>
                <c:ptCount val="5"/>
                <c:pt idx="0">
                  <c:v>2900000</c:v>
                </c:pt>
                <c:pt idx="1">
                  <c:v>2619000</c:v>
                </c:pt>
                <c:pt idx="2">
                  <c:v>1765000</c:v>
                </c:pt>
                <c:pt idx="3">
                  <c:v>1500000</c:v>
                </c:pt>
                <c:pt idx="4">
                  <c:v>150000</c:v>
                </c:pt>
              </c:numCache>
            </c:numRef>
          </c:val>
          <c:extLst>
            <c:ext xmlns:c16="http://schemas.microsoft.com/office/drawing/2014/chart" uri="{C3380CC4-5D6E-409C-BE32-E72D297353CC}">
              <c16:uniqueId val="{00000101-88C2-4DB9-8F53-E24AA8E14B07}"/>
            </c:ext>
          </c:extLst>
        </c:ser>
        <c:ser>
          <c:idx val="0"/>
          <c:order val="7"/>
          <c:spPr>
            <a:ln w="0">
              <a:solidFill>
                <a:srgbClr val="CF1D3F"/>
              </a:solidFill>
            </a:ln>
          </c:spPr>
          <c:dPt>
            <c:idx val="0"/>
            <c:bubble3D val="0"/>
            <c:spPr>
              <a:solidFill>
                <a:srgbClr val="AB3DC4"/>
              </a:solidFill>
              <a:ln w="0">
                <a:solidFill>
                  <a:srgbClr val="AB3DC4"/>
                </a:solidFill>
              </a:ln>
              <a:effectLst>
                <a:outerShdw blurRad="50800" dist="38100" dir="2700000" algn="tl" rotWithShape="0">
                  <a:prstClr val="black">
                    <a:alpha val="25000"/>
                  </a:prstClr>
                </a:outerShdw>
              </a:effectLst>
            </c:spPr>
            <c:extLst>
              <c:ext xmlns:c16="http://schemas.microsoft.com/office/drawing/2014/chart" uri="{C3380CC4-5D6E-409C-BE32-E72D297353CC}">
                <c16:uniqueId val="{000000D3-88C2-4DB9-8F53-E24AA8E14B07}"/>
              </c:ext>
            </c:extLst>
          </c:dPt>
          <c:dPt>
            <c:idx val="1"/>
            <c:bubble3D val="0"/>
            <c:spPr>
              <a:noFill/>
              <a:ln w="0">
                <a:noFill/>
              </a:ln>
              <a:effectLst/>
            </c:spPr>
            <c:extLst>
              <c:ext xmlns:c16="http://schemas.microsoft.com/office/drawing/2014/chart" uri="{C3380CC4-5D6E-409C-BE32-E72D297353CC}">
                <c16:uniqueId val="{000000D5-88C2-4DB9-8F53-E24AA8E14B07}"/>
              </c:ext>
            </c:extLst>
          </c:dPt>
          <c:dPt>
            <c:idx val="2"/>
            <c:bubble3D val="0"/>
            <c:spPr>
              <a:noFill/>
              <a:ln w="0">
                <a:noFill/>
              </a:ln>
              <a:effectLst/>
            </c:spPr>
            <c:extLst>
              <c:ext xmlns:c16="http://schemas.microsoft.com/office/drawing/2014/chart" uri="{C3380CC4-5D6E-409C-BE32-E72D297353CC}">
                <c16:uniqueId val="{000000D7-88C2-4DB9-8F53-E24AA8E14B07}"/>
              </c:ext>
            </c:extLst>
          </c:dPt>
          <c:dPt>
            <c:idx val="3"/>
            <c:bubble3D val="0"/>
            <c:spPr>
              <a:noFill/>
              <a:ln w="0">
                <a:noFill/>
              </a:ln>
              <a:effectLst/>
            </c:spPr>
            <c:extLst>
              <c:ext xmlns:c16="http://schemas.microsoft.com/office/drawing/2014/chart" uri="{C3380CC4-5D6E-409C-BE32-E72D297353CC}">
                <c16:uniqueId val="{000000D9-88C2-4DB9-8F53-E24AA8E14B07}"/>
              </c:ext>
            </c:extLst>
          </c:dPt>
          <c:dPt>
            <c:idx val="4"/>
            <c:bubble3D val="0"/>
            <c:spPr>
              <a:noFill/>
              <a:ln w="0">
                <a:noFill/>
              </a:ln>
              <a:effectLst/>
            </c:spPr>
            <c:extLst>
              <c:ext xmlns:c16="http://schemas.microsoft.com/office/drawing/2014/chart" uri="{C3380CC4-5D6E-409C-BE32-E72D297353CC}">
                <c16:uniqueId val="{000000DB-88C2-4DB9-8F53-E24AA8E14B07}"/>
              </c:ext>
            </c:extLst>
          </c:dPt>
          <c:dLbls>
            <c:dLbl>
              <c:idx val="0"/>
              <c:layout>
                <c:manualLayout>
                  <c:x val="0.13082523798435744"/>
                  <c:y val="7.5852778215945049E-2"/>
                </c:manualLayout>
              </c:layout>
              <c:spPr>
                <a:noFill/>
                <a:ln>
                  <a:noFill/>
                </a:ln>
                <a:effectLst/>
              </c:spPr>
              <c:txPr>
                <a:bodyPr wrap="square" lIns="38100" tIns="19050" rIns="38100" bIns="19050" anchor="ctr">
                  <a:noAutofit/>
                </a:bodyPr>
                <a:lstStyle/>
                <a:p>
                  <a:pPr>
                    <a:defRPr sz="1100" b="1">
                      <a:solidFill>
                        <a:srgbClr val="761589"/>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312462691724503"/>
                      <c:h val="0.17915703312206885"/>
                    </c:manualLayout>
                  </c15:layout>
                </c:ext>
                <c:ext xmlns:c16="http://schemas.microsoft.com/office/drawing/2014/chart" uri="{C3380CC4-5D6E-409C-BE32-E72D297353CC}">
                  <c16:uniqueId val="{000000D3-88C2-4DB9-8F53-E24AA8E14B07}"/>
                </c:ext>
              </c:extLst>
            </c:dLbl>
            <c:dLbl>
              <c:idx val="1"/>
              <c:layout>
                <c:manualLayout>
                  <c:x val="-0.10516460910799902"/>
                  <c:y val="0.11644687387021965"/>
                </c:manualLayout>
              </c:layout>
              <c:spPr>
                <a:noFill/>
                <a:ln>
                  <a:noFill/>
                </a:ln>
                <a:effectLst/>
              </c:spPr>
              <c:txPr>
                <a:bodyPr wrap="square" lIns="38100" tIns="19050" rIns="38100" bIns="19050" anchor="ctr">
                  <a:noAutofit/>
                </a:bodyPr>
                <a:lstStyle/>
                <a:p>
                  <a:pPr>
                    <a:defRPr sz="1100" b="1">
                      <a:solidFill>
                        <a:srgbClr val="087CA0"/>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568088701410748"/>
                      <c:h val="0.17029866899637608"/>
                    </c:manualLayout>
                  </c15:layout>
                </c:ext>
                <c:ext xmlns:c16="http://schemas.microsoft.com/office/drawing/2014/chart" uri="{C3380CC4-5D6E-409C-BE32-E72D297353CC}">
                  <c16:uniqueId val="{000000D5-88C2-4DB9-8F53-E24AA8E14B07}"/>
                </c:ext>
              </c:extLst>
            </c:dLbl>
            <c:dLbl>
              <c:idx val="2"/>
              <c:layout>
                <c:manualLayout>
                  <c:x val="-0.12946161223762004"/>
                  <c:y val="-0.120584349951943"/>
                </c:manualLayout>
              </c:layout>
              <c:spPr>
                <a:noFill/>
                <a:ln>
                  <a:noFill/>
                </a:ln>
                <a:effectLst/>
              </c:spPr>
              <c:txPr>
                <a:bodyPr wrap="square" lIns="38100" tIns="19050" rIns="38100" bIns="19050" anchor="ctr">
                  <a:noAutofit/>
                </a:bodyPr>
                <a:lstStyle/>
                <a:p>
                  <a:pPr>
                    <a:defRPr sz="1100" b="1">
                      <a:solidFill>
                        <a:srgbClr val="138769"/>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4671726906914906"/>
                      <c:h val="0.16646427235889721"/>
                    </c:manualLayout>
                  </c15:layout>
                </c:ext>
                <c:ext xmlns:c16="http://schemas.microsoft.com/office/drawing/2014/chart" uri="{C3380CC4-5D6E-409C-BE32-E72D297353CC}">
                  <c16:uniqueId val="{000000D7-88C2-4DB9-8F53-E24AA8E14B07}"/>
                </c:ext>
              </c:extLst>
            </c:dLbl>
            <c:dLbl>
              <c:idx val="3"/>
              <c:layout>
                <c:manualLayout>
                  <c:x val="4.4796899707890803E-2"/>
                  <c:y val="-0.17108374042166721"/>
                </c:manualLayout>
              </c:layout>
              <c:spPr>
                <a:noFill/>
                <a:ln>
                  <a:noFill/>
                </a:ln>
                <a:effectLst/>
              </c:spPr>
              <c:txPr>
                <a:bodyPr wrap="square" lIns="38100" tIns="19050" rIns="38100" bIns="19050" anchor="ctr">
                  <a:noAutofit/>
                </a:bodyPr>
                <a:lstStyle/>
                <a:p>
                  <a:pPr>
                    <a:defRPr sz="1050" b="1">
                      <a:solidFill>
                        <a:srgbClr val="FF8C01"/>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956902635965863"/>
                      <c:h val="0.15985273979665213"/>
                    </c:manualLayout>
                  </c15:layout>
                </c:ext>
                <c:ext xmlns:c16="http://schemas.microsoft.com/office/drawing/2014/chart" uri="{C3380CC4-5D6E-409C-BE32-E72D297353CC}">
                  <c16:uniqueId val="{000000D9-88C2-4DB9-8F53-E24AA8E14B07}"/>
                </c:ext>
              </c:extLst>
            </c:dLbl>
            <c:dLbl>
              <c:idx val="4"/>
              <c:layout>
                <c:manualLayout>
                  <c:x val="0.18110710132849367"/>
                  <c:y val="-9.3840795762166362E-2"/>
                </c:manualLayout>
              </c:layout>
              <c:spPr>
                <a:noFill/>
                <a:ln>
                  <a:noFill/>
                </a:ln>
                <a:effectLst/>
              </c:spPr>
              <c:txPr>
                <a:bodyPr wrap="square" lIns="38100" tIns="19050" rIns="38100" bIns="19050" anchor="ctr">
                  <a:noAutofit/>
                </a:bodyPr>
                <a:lstStyle/>
                <a:p>
                  <a:pPr>
                    <a:defRPr sz="900" b="1">
                      <a:solidFill>
                        <a:srgbClr val="A81833"/>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682479443390258"/>
                      <c:h val="0.15571234373669285"/>
                    </c:manualLayout>
                  </c15:layout>
                </c:ext>
                <c:ext xmlns:c16="http://schemas.microsoft.com/office/drawing/2014/chart" uri="{C3380CC4-5D6E-409C-BE32-E72D297353CC}">
                  <c16:uniqueId val="{000000DB-88C2-4DB9-8F53-E24AA8E14B07}"/>
                </c:ext>
              </c:extLst>
            </c:dLbl>
            <c:spPr>
              <a:noFill/>
              <a:ln>
                <a:noFill/>
              </a:ln>
              <a:effectLst/>
            </c:spPr>
            <c:txPr>
              <a:bodyPr wrap="square" lIns="38100" tIns="19050" rIns="38100" bIns="19050" anchor="ctr">
                <a:spAutoFit/>
              </a:bodyPr>
              <a:lstStyle/>
              <a:p>
                <a:pPr>
                  <a:defRPr sz="1100" b="1"/>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'Công thức'!$D$3:$D$7</c:f>
              <c:strCache>
                <c:ptCount val="5"/>
                <c:pt idx="0">
                  <c:v>Chi phí thiết yếu</c:v>
                </c:pt>
                <c:pt idx="1">
                  <c:v>Chi phí cá nhân</c:v>
                </c:pt>
                <c:pt idx="2">
                  <c:v>Giải trí và xã hội</c:v>
                </c:pt>
                <c:pt idx="3">
                  <c:v>Tiết kiệm, đầu tư</c:v>
                </c:pt>
                <c:pt idx="4">
                  <c:v>Quà tặng, hiếu, hỉ</c:v>
                </c:pt>
              </c:strCache>
            </c:strRef>
          </c:cat>
          <c:val>
            <c:numRef>
              <c:f>'Công thức'!$E$3:$E$7</c:f>
              <c:numCache>
                <c:formatCode>#,##0\ [$ đ]</c:formatCode>
                <c:ptCount val="5"/>
                <c:pt idx="0">
                  <c:v>2900000</c:v>
                </c:pt>
                <c:pt idx="1">
                  <c:v>2619000</c:v>
                </c:pt>
                <c:pt idx="2">
                  <c:v>1765000</c:v>
                </c:pt>
                <c:pt idx="3">
                  <c:v>1500000</c:v>
                </c:pt>
                <c:pt idx="4">
                  <c:v>150000</c:v>
                </c:pt>
              </c:numCache>
            </c:numRef>
          </c:val>
          <c:extLst>
            <c:ext xmlns:c16="http://schemas.microsoft.com/office/drawing/2014/chart" uri="{C3380CC4-5D6E-409C-BE32-E72D297353CC}">
              <c16:uniqueId val="{000000DC-88C2-4DB9-8F53-E24AA8E14B07}"/>
            </c:ext>
          </c:extLst>
        </c:ser>
        <c:dLbls>
          <c:showLegendKey val="0"/>
          <c:showVal val="0"/>
          <c:showCatName val="0"/>
          <c:showSerName val="0"/>
          <c:showPercent val="0"/>
          <c:showBubbleSize val="0"/>
          <c:showLeaderLines val="1"/>
        </c:dLbls>
        <c:firstSliceAng val="261"/>
        <c:holeSize val="2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lumMod val="50000"/>
                    <a:lumOff val="50000"/>
                  </a:schemeClr>
                </a:solidFill>
              </a:rPr>
              <a:t>CHI TIÊU</a:t>
            </a:r>
            <a:r>
              <a:rPr lang="en-GB" b="1" baseline="0">
                <a:solidFill>
                  <a:schemeClr val="tx1">
                    <a:lumMod val="50000"/>
                    <a:lumOff val="50000"/>
                  </a:schemeClr>
                </a:solidFill>
              </a:rPr>
              <a:t> SO VỚI ĐỊNH MỨC</a:t>
            </a:r>
            <a:endParaRPr lang="en-GB" b="1">
              <a:solidFill>
                <a:schemeClr val="tx1">
                  <a:lumMod val="50000"/>
                  <a:lumOff val="50000"/>
                </a:schemeClr>
              </a:solidFill>
            </a:endParaRPr>
          </a:p>
        </c:rich>
      </c:tx>
      <c:layout>
        <c:manualLayout>
          <c:xMode val="edge"/>
          <c:yMode val="edge"/>
          <c:x val="0.28119521912350598"/>
          <c:y val="1.29032301763543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4644393554391358"/>
          <c:y val="9.1756462556942295E-2"/>
          <c:w val="0.84048417477227122"/>
          <c:h val="0.88217059759709504"/>
        </c:manualLayout>
      </c:layout>
      <c:barChart>
        <c:barDir val="bar"/>
        <c:grouping val="clustered"/>
        <c:varyColors val="0"/>
        <c:ser>
          <c:idx val="1"/>
          <c:order val="0"/>
          <c:spPr>
            <a:solidFill>
              <a:schemeClr val="accent2"/>
            </a:solidFill>
            <a:ln>
              <a:noFill/>
            </a:ln>
            <a:effectLst/>
          </c:spPr>
          <c:invertIfNegative val="0"/>
          <c:dPt>
            <c:idx val="0"/>
            <c:invertIfNegative val="0"/>
            <c:bubble3D val="0"/>
            <c:spPr>
              <a:solidFill>
                <a:srgbClr val="FF9614"/>
              </a:solidFill>
              <a:ln>
                <a:noFill/>
              </a:ln>
              <a:effectLst/>
            </c:spPr>
            <c:extLst>
              <c:ext xmlns:c16="http://schemas.microsoft.com/office/drawing/2014/chart" uri="{C3380CC4-5D6E-409C-BE32-E72D297353CC}">
                <c16:uniqueId val="{0000000E-E547-4582-94CD-41D6C9E72FE8}"/>
              </c:ext>
            </c:extLst>
          </c:dPt>
          <c:dPt>
            <c:idx val="1"/>
            <c:invertIfNegative val="0"/>
            <c:bubble3D val="0"/>
            <c:spPr>
              <a:solidFill>
                <a:srgbClr val="F8BC2F"/>
              </a:solidFill>
              <a:ln>
                <a:noFill/>
              </a:ln>
              <a:effectLst/>
            </c:spPr>
            <c:extLst>
              <c:ext xmlns:c16="http://schemas.microsoft.com/office/drawing/2014/chart" uri="{C3380CC4-5D6E-409C-BE32-E72D297353CC}">
                <c16:uniqueId val="{0000000B-E547-4582-94CD-41D6C9E72FE8}"/>
              </c:ext>
            </c:extLst>
          </c:dPt>
          <c:dPt>
            <c:idx val="2"/>
            <c:invertIfNegative val="0"/>
            <c:bubble3D val="0"/>
            <c:spPr>
              <a:solidFill>
                <a:srgbClr val="1FD7A5"/>
              </a:solidFill>
              <a:ln>
                <a:noFill/>
              </a:ln>
              <a:effectLst/>
            </c:spPr>
            <c:extLst>
              <c:ext xmlns:c16="http://schemas.microsoft.com/office/drawing/2014/chart" uri="{C3380CC4-5D6E-409C-BE32-E72D297353CC}">
                <c16:uniqueId val="{00000009-E547-4582-94CD-41D6C9E72FE8}"/>
              </c:ext>
            </c:extLst>
          </c:dPt>
          <c:dPt>
            <c:idx val="3"/>
            <c:invertIfNegative val="0"/>
            <c:bubble3D val="0"/>
            <c:spPr>
              <a:solidFill>
                <a:srgbClr val="0CB1F1"/>
              </a:solidFill>
              <a:ln>
                <a:noFill/>
              </a:ln>
              <a:effectLst/>
            </c:spPr>
            <c:extLst>
              <c:ext xmlns:c16="http://schemas.microsoft.com/office/drawing/2014/chart" uri="{C3380CC4-5D6E-409C-BE32-E72D297353CC}">
                <c16:uniqueId val="{00000007-E547-4582-94CD-41D6C9E72FE8}"/>
              </c:ext>
            </c:extLst>
          </c:dPt>
          <c:dPt>
            <c:idx val="4"/>
            <c:invertIfNegative val="0"/>
            <c:bubble3D val="0"/>
            <c:spPr>
              <a:solidFill>
                <a:srgbClr val="EC3957"/>
              </a:solidFill>
              <a:ln>
                <a:noFill/>
              </a:ln>
              <a:effectLst/>
            </c:spPr>
            <c:extLst>
              <c:ext xmlns:c16="http://schemas.microsoft.com/office/drawing/2014/chart" uri="{C3380CC4-5D6E-409C-BE32-E72D297353CC}">
                <c16:uniqueId val="{00000005-E547-4582-94CD-41D6C9E72FE8}"/>
              </c:ext>
            </c:extLst>
          </c:dPt>
          <c:cat>
            <c:strRef>
              <c:f>'Công thức'!$L$4:$L$8</c:f>
              <c:strCache>
                <c:ptCount val="5"/>
                <c:pt idx="0">
                  <c:v>Chi phí thiết yếu</c:v>
                </c:pt>
                <c:pt idx="1">
                  <c:v>Chi phí cá nhân</c:v>
                </c:pt>
                <c:pt idx="2">
                  <c:v>Giải trí và xã hội</c:v>
                </c:pt>
                <c:pt idx="3">
                  <c:v>Tiết kiệm, đầu tư</c:v>
                </c:pt>
                <c:pt idx="4">
                  <c:v>Quà tặng, hiếu, hỉ</c:v>
                </c:pt>
              </c:strCache>
            </c:strRef>
          </c:cat>
          <c:val>
            <c:numRef>
              <c:f>'Công thức'!$Q$4:$Q$8</c:f>
              <c:numCache>
                <c:formatCode>0%</c:formatCode>
                <c:ptCount val="5"/>
                <c:pt idx="0">
                  <c:v>0.96666666666666667</c:v>
                </c:pt>
                <c:pt idx="1">
                  <c:v>0.93535714285714289</c:v>
                </c:pt>
                <c:pt idx="2">
                  <c:v>0.92894736842105263</c:v>
                </c:pt>
                <c:pt idx="3">
                  <c:v>1</c:v>
                </c:pt>
                <c:pt idx="4">
                  <c:v>0.1875</c:v>
                </c:pt>
              </c:numCache>
            </c:numRef>
          </c:val>
          <c:extLst>
            <c:ext xmlns:c16="http://schemas.microsoft.com/office/drawing/2014/chart" uri="{C3380CC4-5D6E-409C-BE32-E72D297353CC}">
              <c16:uniqueId val="{00000000-E547-4582-94CD-41D6C9E72FE8}"/>
            </c:ext>
          </c:extLst>
        </c:ser>
        <c:ser>
          <c:idx val="0"/>
          <c:order val="1"/>
          <c:spPr>
            <a:solidFill>
              <a:schemeClr val="accent1"/>
            </a:solidFill>
            <a:ln>
              <a:noFill/>
            </a:ln>
            <a:effectLst/>
          </c:spPr>
          <c:invertIfNegative val="0"/>
          <c:dPt>
            <c:idx val="0"/>
            <c:invertIfNegative val="0"/>
            <c:bubble3D val="0"/>
            <c:spPr>
              <a:solidFill>
                <a:srgbClr val="EE5A1E"/>
              </a:solidFill>
              <a:ln>
                <a:noFill/>
              </a:ln>
              <a:effectLst/>
            </c:spPr>
            <c:extLst>
              <c:ext xmlns:c16="http://schemas.microsoft.com/office/drawing/2014/chart" uri="{C3380CC4-5D6E-409C-BE32-E72D297353CC}">
                <c16:uniqueId val="{0000000D-E547-4582-94CD-41D6C9E72FE8}"/>
              </c:ext>
            </c:extLst>
          </c:dPt>
          <c:dPt>
            <c:idx val="1"/>
            <c:invertIfNegative val="0"/>
            <c:bubble3D val="0"/>
            <c:spPr>
              <a:solidFill>
                <a:srgbClr val="FF9614"/>
              </a:solidFill>
              <a:ln>
                <a:noFill/>
              </a:ln>
              <a:effectLst/>
            </c:spPr>
            <c:extLst>
              <c:ext xmlns:c16="http://schemas.microsoft.com/office/drawing/2014/chart" uri="{C3380CC4-5D6E-409C-BE32-E72D297353CC}">
                <c16:uniqueId val="{0000000A-E547-4582-94CD-41D6C9E72FE8}"/>
              </c:ext>
            </c:extLst>
          </c:dPt>
          <c:dPt>
            <c:idx val="2"/>
            <c:invertIfNegative val="0"/>
            <c:bubble3D val="0"/>
            <c:spPr>
              <a:solidFill>
                <a:srgbClr val="14BC89"/>
              </a:solidFill>
              <a:ln>
                <a:noFill/>
              </a:ln>
              <a:effectLst/>
            </c:spPr>
            <c:extLst>
              <c:ext xmlns:c16="http://schemas.microsoft.com/office/drawing/2014/chart" uri="{C3380CC4-5D6E-409C-BE32-E72D297353CC}">
                <c16:uniqueId val="{00000008-E547-4582-94CD-41D6C9E72FE8}"/>
              </c:ext>
            </c:extLst>
          </c:dPt>
          <c:dPt>
            <c:idx val="3"/>
            <c:invertIfNegative val="0"/>
            <c:bubble3D val="0"/>
            <c:spPr>
              <a:solidFill>
                <a:srgbClr val="0A9ECD"/>
              </a:solidFill>
              <a:ln>
                <a:noFill/>
              </a:ln>
              <a:effectLst/>
            </c:spPr>
            <c:extLst>
              <c:ext xmlns:c16="http://schemas.microsoft.com/office/drawing/2014/chart" uri="{C3380CC4-5D6E-409C-BE32-E72D297353CC}">
                <c16:uniqueId val="{00000006-E547-4582-94CD-41D6C9E72FE8}"/>
              </c:ext>
            </c:extLst>
          </c:dPt>
          <c:dPt>
            <c:idx val="4"/>
            <c:invertIfNegative val="0"/>
            <c:bubble3D val="0"/>
            <c:spPr>
              <a:solidFill>
                <a:srgbClr val="CF1D3F"/>
              </a:solidFill>
              <a:ln>
                <a:noFill/>
              </a:ln>
              <a:effectLst/>
            </c:spPr>
            <c:extLst>
              <c:ext xmlns:c16="http://schemas.microsoft.com/office/drawing/2014/chart" uri="{C3380CC4-5D6E-409C-BE32-E72D297353CC}">
                <c16:uniqueId val="{00000004-E547-4582-94CD-41D6C9E72FE8}"/>
              </c:ext>
            </c:extLst>
          </c:dPt>
          <c:dLbls>
            <c:dLbl>
              <c:idx val="0"/>
              <c:tx>
                <c:rich>
                  <a:bodyPr/>
                  <a:lstStyle/>
                  <a:p>
                    <a:fld id="{7D3651D1-BC7A-4FDC-A0D7-075FB4338EA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E547-4582-94CD-41D6C9E72FE8}"/>
                </c:ext>
              </c:extLst>
            </c:dLbl>
            <c:dLbl>
              <c:idx val="1"/>
              <c:tx>
                <c:rich>
                  <a:bodyPr/>
                  <a:lstStyle/>
                  <a:p>
                    <a:fld id="{829E784F-5819-450D-9851-73725DF65F4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547-4582-94CD-41D6C9E72FE8}"/>
                </c:ext>
              </c:extLst>
            </c:dLbl>
            <c:dLbl>
              <c:idx val="2"/>
              <c:tx>
                <c:rich>
                  <a:bodyPr/>
                  <a:lstStyle/>
                  <a:p>
                    <a:fld id="{A927C168-FC3F-41B9-97A0-0DBD7509202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547-4582-94CD-41D6C9E72FE8}"/>
                </c:ext>
              </c:extLst>
            </c:dLbl>
            <c:dLbl>
              <c:idx val="3"/>
              <c:tx>
                <c:rich>
                  <a:bodyPr/>
                  <a:lstStyle/>
                  <a:p>
                    <a:fld id="{9AB069C2-A1DA-4742-BA21-639EE7EE6EC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547-4582-94CD-41D6C9E72FE8}"/>
                </c:ext>
              </c:extLst>
            </c:dLbl>
            <c:dLbl>
              <c:idx val="4"/>
              <c:tx>
                <c:rich>
                  <a:bodyPr/>
                  <a:lstStyle/>
                  <a:p>
                    <a:fld id="{C7ED1D26-59AB-4AD9-8084-18829A71D30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547-4582-94CD-41D6C9E72FE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'Công thức'!$L$4:$L$8</c:f>
              <c:strCache>
                <c:ptCount val="5"/>
                <c:pt idx="0">
                  <c:v>Chi phí thiết yếu</c:v>
                </c:pt>
                <c:pt idx="1">
                  <c:v>Chi phí cá nhân</c:v>
                </c:pt>
                <c:pt idx="2">
                  <c:v>Giải trí và xã hội</c:v>
                </c:pt>
                <c:pt idx="3">
                  <c:v>Tiết kiệm, đầu tư</c:v>
                </c:pt>
                <c:pt idx="4">
                  <c:v>Quà tặng, hiếu, hỉ</c:v>
                </c:pt>
              </c:strCache>
            </c:strRef>
          </c:cat>
          <c:val>
            <c:numRef>
              <c:f>'Công thức'!$P$4:$P$8</c:f>
              <c:numCache>
                <c:formatCode>0%</c:formatCode>
                <c:ptCount val="5"/>
                <c:pt idx="0">
                  <c:v>1</c:v>
                </c:pt>
                <c:pt idx="1">
                  <c:v>1</c:v>
                </c:pt>
                <c:pt idx="2">
                  <c:v>1</c:v>
                </c:pt>
                <c:pt idx="3">
                  <c:v>1</c:v>
                </c:pt>
                <c:pt idx="4">
                  <c:v>1</c:v>
                </c:pt>
              </c:numCache>
            </c:numRef>
          </c:val>
          <c:extLst>
            <c:ext xmlns:c15="http://schemas.microsoft.com/office/drawing/2012/chart" uri="{02D57815-91ED-43cb-92C2-25804820EDAC}">
              <c15:datalabelsRange>
                <c15:f>'Công thức'!$O$4:$O$8</c15:f>
                <c15:dlblRangeCache>
                  <c:ptCount val="5"/>
                  <c:pt idx="0">
                    <c:v>100,000  đ</c:v>
                  </c:pt>
                  <c:pt idx="1">
                    <c:v>181,000  đ</c:v>
                  </c:pt>
                  <c:pt idx="2">
                    <c:v>135,000  đ</c:v>
                  </c:pt>
                  <c:pt idx="3">
                    <c:v>0  đ</c:v>
                  </c:pt>
                  <c:pt idx="4">
                    <c:v>650,000  đ</c:v>
                  </c:pt>
                </c15:dlblRangeCache>
              </c15:datalabelsRange>
            </c:ext>
            <c:ext xmlns:c16="http://schemas.microsoft.com/office/drawing/2014/chart" uri="{C3380CC4-5D6E-409C-BE32-E72D297353CC}">
              <c16:uniqueId val="{00000001-E547-4582-94CD-41D6C9E72FE8}"/>
            </c:ext>
          </c:extLst>
        </c:ser>
        <c:dLbls>
          <c:showLegendKey val="0"/>
          <c:showVal val="0"/>
          <c:showCatName val="0"/>
          <c:showSerName val="0"/>
          <c:showPercent val="0"/>
          <c:showBubbleSize val="0"/>
        </c:dLbls>
        <c:gapWidth val="180"/>
        <c:axId val="950904607"/>
        <c:axId val="950905567"/>
      </c:barChart>
      <c:catAx>
        <c:axId val="950904607"/>
        <c:scaling>
          <c:orientation val="minMax"/>
        </c:scaling>
        <c:delete val="0"/>
        <c:axPos val="l"/>
        <c:numFmt formatCode="General" sourceLinked="1"/>
        <c:majorTickMark val="out"/>
        <c:minorTickMark val="none"/>
        <c:tickLblPos val="nextTo"/>
        <c:spPr>
          <a:noFill/>
          <a:ln w="9525" cap="flat" cmpd="sng" algn="ctr">
            <a:noFill/>
            <a:round/>
          </a:ln>
          <a:effectLst/>
        </c:spPr>
        <c:txPr>
          <a:bodyPr rot="0" spcFirstLastPara="1" vertOverflow="ellipsis" wrap="square" anchor="ctr" anchorCtr="1"/>
          <a:lstStyle/>
          <a:p>
            <a:pPr>
              <a:defRPr sz="1000" b="1" i="0" u="none" strike="noStrike" kern="1200" baseline="0">
                <a:solidFill>
                  <a:schemeClr val="tx1">
                    <a:lumMod val="50000"/>
                    <a:lumOff val="50000"/>
                  </a:schemeClr>
                </a:solidFill>
                <a:latin typeface="Aptos Display (Headings)"/>
                <a:ea typeface="+mn-ea"/>
                <a:cs typeface="+mn-cs"/>
              </a:defRPr>
            </a:pPr>
            <a:endParaRPr lang="en-US"/>
          </a:p>
        </c:txPr>
        <c:crossAx val="950905567"/>
        <c:crosses val="autoZero"/>
        <c:auto val="1"/>
        <c:lblAlgn val="ctr"/>
        <c:lblOffset val="100"/>
        <c:noMultiLvlLbl val="0"/>
      </c:catAx>
      <c:valAx>
        <c:axId val="950905567"/>
        <c:scaling>
          <c:orientation val="minMax"/>
          <c:min val="0"/>
        </c:scaling>
        <c:delete val="1"/>
        <c:axPos val="b"/>
        <c:numFmt formatCode="0%" sourceLinked="1"/>
        <c:majorTickMark val="out"/>
        <c:minorTickMark val="none"/>
        <c:tickLblPos val="nextTo"/>
        <c:crossAx val="95090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85724</xdr:colOff>
      <xdr:row>12</xdr:row>
      <xdr:rowOff>142876</xdr:rowOff>
    </xdr:from>
    <xdr:to>
      <xdr:col>8</xdr:col>
      <xdr:colOff>152399</xdr:colOff>
      <xdr:row>14</xdr:row>
      <xdr:rowOff>19050</xdr:rowOff>
    </xdr:to>
    <mc:AlternateContent xmlns:mc="http://schemas.openxmlformats.org/markup-compatibility/2006" xmlns:a14="http://schemas.microsoft.com/office/drawing/2010/main">
      <mc:Choice Requires="a14">
        <xdr:graphicFrame macro="">
          <xdr:nvGraphicFramePr>
            <xdr:cNvPr id="2" name="Months (NGÀY CHI)">
              <a:extLst>
                <a:ext uri="{FF2B5EF4-FFF2-40B4-BE49-F238E27FC236}">
                  <a16:creationId xmlns:a16="http://schemas.microsoft.com/office/drawing/2014/main" id="{186D3C2E-E06B-4A7F-BECF-63EA3F830F4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s (NGÀY CHI)"/>
            </a:graphicData>
          </a:graphic>
        </xdr:graphicFrame>
      </mc:Choice>
      <mc:Fallback xmlns="">
        <xdr:sp macro="" textlink="">
          <xdr:nvSpPr>
            <xdr:cNvPr id="0" name=""/>
            <xdr:cNvSpPr>
              <a:spLocks noTextEdit="1"/>
            </xdr:cNvSpPr>
          </xdr:nvSpPr>
          <xdr:spPr>
            <a:xfrm>
              <a:off x="85724" y="3571876"/>
              <a:ext cx="5553075" cy="4381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400050</xdr:colOff>
      <xdr:row>0</xdr:row>
      <xdr:rowOff>219075</xdr:rowOff>
    </xdr:from>
    <xdr:to>
      <xdr:col>19</xdr:col>
      <xdr:colOff>590550</xdr:colOff>
      <xdr:row>13</xdr:row>
      <xdr:rowOff>47624</xdr:rowOff>
    </xdr:to>
    <xdr:graphicFrame macro="">
      <xdr:nvGraphicFramePr>
        <xdr:cNvPr id="3" name="Chart 2">
          <a:extLst>
            <a:ext uri="{FF2B5EF4-FFF2-40B4-BE49-F238E27FC236}">
              <a16:creationId xmlns:a16="http://schemas.microsoft.com/office/drawing/2014/main" id="{4C151173-BDA4-4AE0-9198-DDCF2181F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466726</xdr:colOff>
      <xdr:row>13</xdr:row>
      <xdr:rowOff>76199</xdr:rowOff>
    </xdr:from>
    <xdr:to>
      <xdr:col>19</xdr:col>
      <xdr:colOff>590550</xdr:colOff>
      <xdr:row>25</xdr:row>
      <xdr:rowOff>47624</xdr:rowOff>
    </xdr:to>
    <xdr:graphicFrame macro="">
      <xdr:nvGraphicFramePr>
        <xdr:cNvPr id="4" name="Chart 3">
          <a:extLst>
            <a:ext uri="{FF2B5EF4-FFF2-40B4-BE49-F238E27FC236}">
              <a16:creationId xmlns:a16="http://schemas.microsoft.com/office/drawing/2014/main" id="{BB214CBB-686C-4A7A-88E6-7FCE7CEF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238126</xdr:colOff>
      <xdr:row>0</xdr:row>
      <xdr:rowOff>19052</xdr:rowOff>
    </xdr:from>
    <xdr:to>
      <xdr:col>6</xdr:col>
      <xdr:colOff>276225</xdr:colOff>
      <xdr:row>12</xdr:row>
      <xdr:rowOff>219076</xdr:rowOff>
    </xdr:to>
    <xdr:graphicFrame macro="">
      <xdr:nvGraphicFramePr>
        <xdr:cNvPr id="5" name="Chart 4">
          <a:extLst>
            <a:ext uri="{FF2B5EF4-FFF2-40B4-BE49-F238E27FC236}">
              <a16:creationId xmlns:a16="http://schemas.microsoft.com/office/drawing/2014/main" id="{27DE032C-87D5-4E66-8722-148A3BEB6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247650</xdr:colOff>
      <xdr:row>14</xdr:row>
      <xdr:rowOff>57150</xdr:rowOff>
    </xdr:from>
    <xdr:to>
      <xdr:col>7</xdr:col>
      <xdr:colOff>228600</xdr:colOff>
      <xdr:row>24</xdr:row>
      <xdr:rowOff>152399</xdr:rowOff>
    </xdr:to>
    <xdr:graphicFrame macro="">
      <xdr:nvGraphicFramePr>
        <xdr:cNvPr id="10" name="Chart 9">
          <a:extLst>
            <a:ext uri="{FF2B5EF4-FFF2-40B4-BE49-F238E27FC236}">
              <a16:creationId xmlns:a16="http://schemas.microsoft.com/office/drawing/2014/main" id="{CD76237C-09F4-4BDF-96F8-8F8B6711E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209549</xdr:colOff>
      <xdr:row>14</xdr:row>
      <xdr:rowOff>9525</xdr:rowOff>
    </xdr:from>
    <xdr:to>
      <xdr:col>7</xdr:col>
      <xdr:colOff>295274</xdr:colOff>
      <xdr:row>24</xdr:row>
      <xdr:rowOff>152400</xdr:rowOff>
    </xdr:to>
    <xdr:sp macro="" textlink="">
      <xdr:nvSpPr>
        <xdr:cNvPr id="11" name="Rectangle: Rounded Corners 10">
          <a:extLst>
            <a:ext uri="{FF2B5EF4-FFF2-40B4-BE49-F238E27FC236}">
              <a16:creationId xmlns:a16="http://schemas.microsoft.com/office/drawing/2014/main" id="{A701CB3D-D0C9-8D6F-4016-FBA96863ED66}"/>
            </a:ext>
          </a:extLst>
        </xdr:cNvPr>
        <xdr:cNvSpPr/>
      </xdr:nvSpPr>
      <xdr:spPr>
        <a:xfrm>
          <a:off x="209549" y="4000500"/>
          <a:ext cx="4886325" cy="2905125"/>
        </a:xfrm>
        <a:prstGeom prst="roundRect">
          <a:avLst>
            <a:gd name="adj" fmla="val 6598"/>
          </a:avLst>
        </a:prstGeom>
        <a:noFill/>
        <a:ln w="9525">
          <a:solidFill>
            <a:srgbClr val="33CAC8"/>
          </a:solidFill>
          <a:prstDash val="lg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247651</xdr:colOff>
      <xdr:row>0</xdr:row>
      <xdr:rowOff>171448</xdr:rowOff>
    </xdr:from>
    <xdr:to>
      <xdr:col>10</xdr:col>
      <xdr:colOff>266700</xdr:colOff>
      <xdr:row>1</xdr:row>
      <xdr:rowOff>94936</xdr:rowOff>
    </xdr:to>
    <xdr:grpSp>
      <xdr:nvGrpSpPr>
        <xdr:cNvPr id="23" name="Group 22">
          <a:extLst>
            <a:ext uri="{FF2B5EF4-FFF2-40B4-BE49-F238E27FC236}">
              <a16:creationId xmlns:a16="http://schemas.microsoft.com/office/drawing/2014/main" id="{925F5200-CA60-C310-70BF-BFAB77B693CB}"/>
            </a:ext>
          </a:extLst>
        </xdr:cNvPr>
        <xdr:cNvGrpSpPr/>
      </xdr:nvGrpSpPr>
      <xdr:grpSpPr>
        <a:xfrm>
          <a:off x="5028753" y="175258"/>
          <a:ext cx="2073535" cy="214841"/>
          <a:chOff x="11344276" y="148902"/>
          <a:chExt cx="2457633" cy="247650"/>
        </a:xfrm>
      </xdr:grpSpPr>
      <xdr:grpSp>
        <xdr:nvGrpSpPr>
          <xdr:cNvPr id="8" name="Group 7">
            <a:extLst>
              <a:ext uri="{FF2B5EF4-FFF2-40B4-BE49-F238E27FC236}">
                <a16:creationId xmlns:a16="http://schemas.microsoft.com/office/drawing/2014/main" id="{843FABA9-E524-99A2-F143-63F93A09D975}"/>
              </a:ext>
            </a:extLst>
          </xdr:cNvPr>
          <xdr:cNvGrpSpPr/>
        </xdr:nvGrpSpPr>
        <xdr:grpSpPr>
          <a:xfrm>
            <a:off x="12763500" y="148902"/>
            <a:ext cx="1038409" cy="247649"/>
            <a:chOff x="11896725" y="91752"/>
            <a:chExt cx="1038409" cy="247649"/>
          </a:xfrm>
        </xdr:grpSpPr>
        <xdr:sp macro="" textlink="">
          <xdr:nvSpPr>
            <xdr:cNvPr id="6" name="Rectangle: Rounded Corners 5">
              <a:extLst>
                <a:ext uri="{FF2B5EF4-FFF2-40B4-BE49-F238E27FC236}">
                  <a16:creationId xmlns:a16="http://schemas.microsoft.com/office/drawing/2014/main" id="{87DB6DF5-0E72-BA7E-755E-B281B5D92E19}"/>
                </a:ext>
              </a:extLst>
            </xdr:cNvPr>
            <xdr:cNvSpPr/>
          </xdr:nvSpPr>
          <xdr:spPr>
            <a:xfrm>
              <a:off x="11896725" y="129853"/>
              <a:ext cx="176098" cy="176099"/>
            </a:xfrm>
            <a:prstGeom prst="roundRect">
              <a:avLst/>
            </a:prstGeom>
            <a:solidFill>
              <a:srgbClr val="FFFF00">
                <a:alpha val="20000"/>
              </a:srgbClr>
            </a:solidFill>
            <a:ln w="12700">
              <a:solidFill>
                <a:srgbClr val="FF8C0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DC91AF7B-97B0-A785-0FFA-62AB20143CE0}"/>
                </a:ext>
              </a:extLst>
            </xdr:cNvPr>
            <xdr:cNvSpPr txBox="1"/>
          </xdr:nvSpPr>
          <xdr:spPr>
            <a:xfrm>
              <a:off x="12058650" y="91752"/>
              <a:ext cx="876484"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b="0">
                  <a:solidFill>
                    <a:srgbClr val="EA7B00"/>
                  </a:solidFill>
                </a:rPr>
                <a:t>Thu nhập</a:t>
              </a:r>
            </a:p>
          </xdr:txBody>
        </xdr:sp>
      </xdr:grpSp>
      <xdr:grpSp>
        <xdr:nvGrpSpPr>
          <xdr:cNvPr id="22" name="Group 21">
            <a:extLst>
              <a:ext uri="{FF2B5EF4-FFF2-40B4-BE49-F238E27FC236}">
                <a16:creationId xmlns:a16="http://schemas.microsoft.com/office/drawing/2014/main" id="{33AB9EBA-F7E9-BDF6-D662-2A53B565189C}"/>
              </a:ext>
            </a:extLst>
          </xdr:cNvPr>
          <xdr:cNvGrpSpPr/>
        </xdr:nvGrpSpPr>
        <xdr:grpSpPr>
          <a:xfrm>
            <a:off x="11344276" y="148902"/>
            <a:ext cx="1390649" cy="247650"/>
            <a:chOff x="11125201" y="148902"/>
            <a:chExt cx="1390649" cy="247650"/>
          </a:xfrm>
        </xdr:grpSpPr>
        <xdr:grpSp>
          <xdr:nvGrpSpPr>
            <xdr:cNvPr id="20" name="Group 19">
              <a:extLst>
                <a:ext uri="{FF2B5EF4-FFF2-40B4-BE49-F238E27FC236}">
                  <a16:creationId xmlns:a16="http://schemas.microsoft.com/office/drawing/2014/main" id="{E77CB91A-EADF-CA5A-E064-6D9E68B4DC48}"/>
                </a:ext>
              </a:extLst>
            </xdr:cNvPr>
            <xdr:cNvGrpSpPr/>
          </xdr:nvGrpSpPr>
          <xdr:grpSpPr>
            <a:xfrm>
              <a:off x="11125201" y="187001"/>
              <a:ext cx="641950" cy="174947"/>
              <a:chOff x="14319647" y="1157865"/>
              <a:chExt cx="714375" cy="194685"/>
            </a:xfrm>
          </xdr:grpSpPr>
          <xdr:grpSp>
            <xdr:nvGrpSpPr>
              <xdr:cNvPr id="9" name="Group 8">
                <a:extLst>
                  <a:ext uri="{FF2B5EF4-FFF2-40B4-BE49-F238E27FC236}">
                    <a16:creationId xmlns:a16="http://schemas.microsoft.com/office/drawing/2014/main" id="{2D029861-BB9B-4801-B953-45F375EF2BFE}"/>
                  </a:ext>
                </a:extLst>
              </xdr:cNvPr>
              <xdr:cNvGrpSpPr/>
            </xdr:nvGrpSpPr>
            <xdr:grpSpPr>
              <a:xfrm>
                <a:off x="14319647" y="1157866"/>
                <a:ext cx="207939" cy="187902"/>
                <a:chOff x="1851113" y="1064007"/>
                <a:chExt cx="587287" cy="2068946"/>
              </a:xfrm>
            </xdr:grpSpPr>
            <xdr:sp macro="" textlink="">
              <xdr:nvSpPr>
                <xdr:cNvPr id="12" name="Rectangle 11">
                  <a:extLst>
                    <a:ext uri="{FF2B5EF4-FFF2-40B4-BE49-F238E27FC236}">
                      <a16:creationId xmlns:a16="http://schemas.microsoft.com/office/drawing/2014/main" id="{0974BDAB-89BB-A56F-E4BF-EB7EE3747405}"/>
                    </a:ext>
                  </a:extLst>
                </xdr:cNvPr>
                <xdr:cNvSpPr/>
              </xdr:nvSpPr>
              <xdr:spPr>
                <a:xfrm>
                  <a:off x="1851113" y="1064007"/>
                  <a:ext cx="587287" cy="2068946"/>
                </a:xfrm>
                <a:prstGeom prst="rect">
                  <a:avLst/>
                </a:prstGeom>
                <a:solidFill>
                  <a:srgbClr val="21A1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13" name="Rectangle 12">
                  <a:extLst>
                    <a:ext uri="{FF2B5EF4-FFF2-40B4-BE49-F238E27FC236}">
                      <a16:creationId xmlns:a16="http://schemas.microsoft.com/office/drawing/2014/main" id="{C6E6658B-3F78-69A4-7814-3079042DCA0A}"/>
                    </a:ext>
                  </a:extLst>
                </xdr:cNvPr>
                <xdr:cNvSpPr/>
              </xdr:nvSpPr>
              <xdr:spPr>
                <a:xfrm>
                  <a:off x="2142837" y="1064007"/>
                  <a:ext cx="295563"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grpSp>
            <xdr:nvGrpSpPr>
              <xdr:cNvPr id="14" name="Group 13">
                <a:extLst>
                  <a:ext uri="{FF2B5EF4-FFF2-40B4-BE49-F238E27FC236}">
                    <a16:creationId xmlns:a16="http://schemas.microsoft.com/office/drawing/2014/main" id="{7E1ABCCC-60BA-40B4-8EF0-D82D4294C9FB}"/>
                  </a:ext>
                </a:extLst>
              </xdr:cNvPr>
              <xdr:cNvGrpSpPr/>
            </xdr:nvGrpSpPr>
            <xdr:grpSpPr>
              <a:xfrm>
                <a:off x="14577627" y="1157866"/>
                <a:ext cx="207939" cy="194684"/>
                <a:chOff x="1851113" y="1064007"/>
                <a:chExt cx="587287" cy="2143619"/>
              </a:xfrm>
            </xdr:grpSpPr>
            <xdr:sp macro="" textlink="">
              <xdr:nvSpPr>
                <xdr:cNvPr id="15" name="Rectangle 14">
                  <a:extLst>
                    <a:ext uri="{FF2B5EF4-FFF2-40B4-BE49-F238E27FC236}">
                      <a16:creationId xmlns:a16="http://schemas.microsoft.com/office/drawing/2014/main" id="{1E7FCB08-294E-8FD2-DBFE-344247E7F0F5}"/>
                    </a:ext>
                  </a:extLst>
                </xdr:cNvPr>
                <xdr:cNvSpPr/>
              </xdr:nvSpPr>
              <xdr:spPr>
                <a:xfrm>
                  <a:off x="1851113" y="1064007"/>
                  <a:ext cx="587287" cy="2068946"/>
                </a:xfrm>
                <a:prstGeom prst="rect">
                  <a:avLst/>
                </a:prstGeom>
                <a:solidFill>
                  <a:srgbClr val="F4D0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16" name="Rectangle 15">
                  <a:extLst>
                    <a:ext uri="{FF2B5EF4-FFF2-40B4-BE49-F238E27FC236}">
                      <a16:creationId xmlns:a16="http://schemas.microsoft.com/office/drawing/2014/main" id="{EE172E12-A15A-D827-B996-1AA8A33586BE}"/>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grpSp>
            <xdr:nvGrpSpPr>
              <xdr:cNvPr id="17" name="Group 16">
                <a:extLst>
                  <a:ext uri="{FF2B5EF4-FFF2-40B4-BE49-F238E27FC236}">
                    <a16:creationId xmlns:a16="http://schemas.microsoft.com/office/drawing/2014/main" id="{C3D3C4AA-BE2B-4248-81CA-DB9E29094733}"/>
                  </a:ext>
                </a:extLst>
              </xdr:cNvPr>
              <xdr:cNvGrpSpPr/>
            </xdr:nvGrpSpPr>
            <xdr:grpSpPr>
              <a:xfrm>
                <a:off x="14826083" y="1157865"/>
                <a:ext cx="207939" cy="194685"/>
                <a:chOff x="1851113" y="1063992"/>
                <a:chExt cx="587287" cy="2143634"/>
              </a:xfrm>
            </xdr:grpSpPr>
            <xdr:sp macro="" textlink="">
              <xdr:nvSpPr>
                <xdr:cNvPr id="18" name="Rectangle 17">
                  <a:extLst>
                    <a:ext uri="{FF2B5EF4-FFF2-40B4-BE49-F238E27FC236}">
                      <a16:creationId xmlns:a16="http://schemas.microsoft.com/office/drawing/2014/main" id="{82EDBF6D-385D-0094-4CE4-12BE2D5C0A3E}"/>
                    </a:ext>
                  </a:extLst>
                </xdr:cNvPr>
                <xdr:cNvSpPr/>
              </xdr:nvSpPr>
              <xdr:spPr>
                <a:xfrm>
                  <a:off x="1851113" y="1063992"/>
                  <a:ext cx="587287" cy="2068946"/>
                </a:xfrm>
                <a:prstGeom prst="rect">
                  <a:avLst/>
                </a:prstGeom>
                <a:solidFill>
                  <a:srgbClr val="DC29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19" name="Rectangle 18">
                  <a:extLst>
                    <a:ext uri="{FF2B5EF4-FFF2-40B4-BE49-F238E27FC236}">
                      <a16:creationId xmlns:a16="http://schemas.microsoft.com/office/drawing/2014/main" id="{74520545-3122-946A-54C0-024BD11AF8EA}"/>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grpSp>
        <xdr:sp macro="" textlink="">
          <xdr:nvSpPr>
            <xdr:cNvPr id="21" name="TextBox 20">
              <a:extLst>
                <a:ext uri="{FF2B5EF4-FFF2-40B4-BE49-F238E27FC236}">
                  <a16:creationId xmlns:a16="http://schemas.microsoft.com/office/drawing/2014/main" id="{D96359DC-F867-4FBE-9EED-02235A1D8849}"/>
                </a:ext>
              </a:extLst>
            </xdr:cNvPr>
            <xdr:cNvSpPr txBox="1"/>
          </xdr:nvSpPr>
          <xdr:spPr>
            <a:xfrm>
              <a:off x="11763375" y="148902"/>
              <a:ext cx="7524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b="0">
                  <a:solidFill>
                    <a:srgbClr val="3CBAA2"/>
                  </a:solidFill>
                </a:rPr>
                <a:t>Chi tiêu</a:t>
              </a:r>
            </a:p>
          </xdr:txBody>
        </xdr:sp>
      </xdr:grpSp>
    </xdr:grpSp>
    <xdr:clientData/>
  </xdr:twoCellAnchor>
  <xdr:oneCellAnchor>
    <xdr:from>
      <xdr:col>21</xdr:col>
      <xdr:colOff>95250</xdr:colOff>
      <xdr:row>11</xdr:row>
      <xdr:rowOff>19050</xdr:rowOff>
    </xdr:from>
    <xdr:ext cx="2446952" cy="311496"/>
    <xdr:sp macro="" textlink="">
      <xdr:nvSpPr>
        <xdr:cNvPr id="37" name="TextBox 36">
          <a:extLst>
            <a:ext uri="{FF2B5EF4-FFF2-40B4-BE49-F238E27FC236}">
              <a16:creationId xmlns:a16="http://schemas.microsoft.com/office/drawing/2014/main" id="{0C0FC477-6E05-EDEE-1F37-0E3BACCEBD02}"/>
            </a:ext>
          </a:extLst>
        </xdr:cNvPr>
        <xdr:cNvSpPr txBox="1"/>
      </xdr:nvSpPr>
      <xdr:spPr>
        <a:xfrm>
          <a:off x="14306550" y="3162300"/>
          <a:ext cx="244695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400" b="1">
              <a:solidFill>
                <a:schemeClr val="tx1">
                  <a:lumMod val="50000"/>
                  <a:lumOff val="50000"/>
                </a:schemeClr>
              </a:solidFill>
            </a:rPr>
            <a:t>TOP </a:t>
          </a:r>
          <a:r>
            <a:rPr lang="en-GB" sz="1400" b="1" baseline="0">
              <a:solidFill>
                <a:schemeClr val="tx1">
                  <a:lumMod val="50000"/>
                  <a:lumOff val="50000"/>
                </a:schemeClr>
              </a:solidFill>
            </a:rPr>
            <a:t>CHI TIÊU DƯỚI ĐỊNH MỨC</a:t>
          </a:r>
          <a:endParaRPr lang="en-GB" sz="1400" b="1">
            <a:solidFill>
              <a:schemeClr val="tx1">
                <a:lumMod val="50000"/>
                <a:lumOff val="50000"/>
              </a:schemeClr>
            </a:solidFill>
          </a:endParaRPr>
        </a:p>
      </xdr:txBody>
    </xdr:sp>
    <xdr:clientData/>
  </xdr:oneCellAnchor>
  <xdr:twoCellAnchor>
    <xdr:from>
      <xdr:col>19</xdr:col>
      <xdr:colOff>666750</xdr:colOff>
      <xdr:row>1</xdr:row>
      <xdr:rowOff>66675</xdr:rowOff>
    </xdr:from>
    <xdr:to>
      <xdr:col>23</xdr:col>
      <xdr:colOff>488950</xdr:colOff>
      <xdr:row>10</xdr:row>
      <xdr:rowOff>276225</xdr:rowOff>
    </xdr:to>
    <xdr:grpSp>
      <xdr:nvGrpSpPr>
        <xdr:cNvPr id="38" name="Group 37">
          <a:extLst>
            <a:ext uri="{FF2B5EF4-FFF2-40B4-BE49-F238E27FC236}">
              <a16:creationId xmlns:a16="http://schemas.microsoft.com/office/drawing/2014/main" id="{AEBE45D9-7382-4FF5-8518-DC4D76D8D55F}"/>
            </a:ext>
          </a:extLst>
        </xdr:cNvPr>
        <xdr:cNvGrpSpPr/>
      </xdr:nvGrpSpPr>
      <xdr:grpSpPr>
        <a:xfrm>
          <a:off x="13650558" y="356123"/>
          <a:ext cx="3701340" cy="2835536"/>
          <a:chOff x="35956875" y="2495550"/>
          <a:chExt cx="3708400" cy="2781300"/>
        </a:xfrm>
      </xdr:grpSpPr>
      <xdr:grpSp>
        <xdr:nvGrpSpPr>
          <xdr:cNvPr id="39" name="Group 38">
            <a:extLst>
              <a:ext uri="{FF2B5EF4-FFF2-40B4-BE49-F238E27FC236}">
                <a16:creationId xmlns:a16="http://schemas.microsoft.com/office/drawing/2014/main" id="{BBFAB6A7-AF6B-3E19-255D-095A91B076CC}"/>
              </a:ext>
            </a:extLst>
          </xdr:cNvPr>
          <xdr:cNvGrpSpPr/>
        </xdr:nvGrpSpPr>
        <xdr:grpSpPr>
          <a:xfrm>
            <a:off x="36491742" y="2627438"/>
            <a:ext cx="3173533" cy="2533521"/>
            <a:chOff x="36680777" y="2541221"/>
            <a:chExt cx="3390898" cy="2707050"/>
          </a:xfrm>
        </xdr:grpSpPr>
        <xdr:sp macro="" textlink="">
          <xdr:nvSpPr>
            <xdr:cNvPr id="77" name="Flowchart: Off-page Connector 76">
              <a:extLst>
                <a:ext uri="{FF2B5EF4-FFF2-40B4-BE49-F238E27FC236}">
                  <a16:creationId xmlns:a16="http://schemas.microsoft.com/office/drawing/2014/main" id="{46CB009D-D581-C39F-4331-E1AC27A079E8}"/>
                </a:ext>
              </a:extLst>
            </xdr:cNvPr>
            <xdr:cNvSpPr/>
          </xdr:nvSpPr>
          <xdr:spPr>
            <a:xfrm rot="16200000">
              <a:off x="37889476" y="1332522"/>
              <a:ext cx="554400" cy="2971798"/>
            </a:xfrm>
            <a:custGeom>
              <a:avLst/>
              <a:gdLst>
                <a:gd name="csX0" fmla="*/ 0 w 554400"/>
                <a:gd name="csY0" fmla="*/ 0 h 2971798"/>
                <a:gd name="csX1" fmla="*/ 554400 w 554400"/>
                <a:gd name="csY1" fmla="*/ 0 h 2971798"/>
                <a:gd name="csX2" fmla="*/ 554400 w 554400"/>
                <a:gd name="csY2" fmla="*/ 570585 h 2971798"/>
                <a:gd name="csX3" fmla="*/ 554400 w 554400"/>
                <a:gd name="csY3" fmla="*/ 1188719 h 2971798"/>
                <a:gd name="csX4" fmla="*/ 554400 w 554400"/>
                <a:gd name="csY4" fmla="*/ 1735530 h 2971798"/>
                <a:gd name="csX5" fmla="*/ 554400 w 554400"/>
                <a:gd name="csY5" fmla="*/ 2377438 h 2971798"/>
                <a:gd name="csX6" fmla="*/ 277200 w 554400"/>
                <a:gd name="csY6" fmla="*/ 2971798 h 2971798"/>
                <a:gd name="csX7" fmla="*/ 0 w 554400"/>
                <a:gd name="csY7" fmla="*/ 2377438 h 2971798"/>
                <a:gd name="csX8" fmla="*/ 0 w 554400"/>
                <a:gd name="csY8" fmla="*/ 1759304 h 2971798"/>
                <a:gd name="csX9" fmla="*/ 0 w 554400"/>
                <a:gd name="csY9" fmla="*/ 1117396 h 2971798"/>
                <a:gd name="csX10" fmla="*/ 0 w 554400"/>
                <a:gd name="csY10" fmla="*/ 570585 h 2971798"/>
                <a:gd name="csX11" fmla="*/ 0 w 554400"/>
                <a:gd name="csY11" fmla="*/ 0 h 297179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554400" h="2971798" fill="none" extrusionOk="0">
                  <a:moveTo>
                    <a:pt x="0" y="0"/>
                  </a:moveTo>
                  <a:cubicBezTo>
                    <a:pt x="172840" y="623"/>
                    <a:pt x="362377" y="21991"/>
                    <a:pt x="554400" y="0"/>
                  </a:cubicBezTo>
                  <a:cubicBezTo>
                    <a:pt x="538949" y="271821"/>
                    <a:pt x="553076" y="306614"/>
                    <a:pt x="554400" y="570585"/>
                  </a:cubicBezTo>
                  <a:cubicBezTo>
                    <a:pt x="555724" y="834557"/>
                    <a:pt x="545541" y="899214"/>
                    <a:pt x="554400" y="1188719"/>
                  </a:cubicBezTo>
                  <a:cubicBezTo>
                    <a:pt x="563259" y="1478224"/>
                    <a:pt x="540135" y="1495852"/>
                    <a:pt x="554400" y="1735530"/>
                  </a:cubicBezTo>
                  <a:cubicBezTo>
                    <a:pt x="568665" y="1975208"/>
                    <a:pt x="532391" y="2215380"/>
                    <a:pt x="554400" y="2377438"/>
                  </a:cubicBezTo>
                  <a:cubicBezTo>
                    <a:pt x="463883" y="2523153"/>
                    <a:pt x="365243" y="2855430"/>
                    <a:pt x="277200" y="2971798"/>
                  </a:cubicBezTo>
                  <a:cubicBezTo>
                    <a:pt x="174033" y="2813002"/>
                    <a:pt x="67203" y="2494060"/>
                    <a:pt x="0" y="2377438"/>
                  </a:cubicBezTo>
                  <a:cubicBezTo>
                    <a:pt x="-12996" y="2161407"/>
                    <a:pt x="1417" y="1967974"/>
                    <a:pt x="0" y="1759304"/>
                  </a:cubicBezTo>
                  <a:cubicBezTo>
                    <a:pt x="-1417" y="1550634"/>
                    <a:pt x="10078" y="1370327"/>
                    <a:pt x="0" y="1117396"/>
                  </a:cubicBezTo>
                  <a:cubicBezTo>
                    <a:pt x="-10078" y="864465"/>
                    <a:pt x="-19651" y="717684"/>
                    <a:pt x="0" y="570585"/>
                  </a:cubicBezTo>
                  <a:cubicBezTo>
                    <a:pt x="19651" y="423486"/>
                    <a:pt x="-15662" y="208967"/>
                    <a:pt x="0" y="0"/>
                  </a:cubicBezTo>
                  <a:close/>
                </a:path>
                <a:path w="554400" h="2971798" stroke="0" extrusionOk="0">
                  <a:moveTo>
                    <a:pt x="0" y="0"/>
                  </a:moveTo>
                  <a:cubicBezTo>
                    <a:pt x="251980" y="-8937"/>
                    <a:pt x="404395" y="11044"/>
                    <a:pt x="554400" y="0"/>
                  </a:cubicBezTo>
                  <a:cubicBezTo>
                    <a:pt x="577055" y="262922"/>
                    <a:pt x="557850" y="435438"/>
                    <a:pt x="554400" y="546811"/>
                  </a:cubicBezTo>
                  <a:cubicBezTo>
                    <a:pt x="550950" y="658184"/>
                    <a:pt x="562585" y="935000"/>
                    <a:pt x="554400" y="1164945"/>
                  </a:cubicBezTo>
                  <a:cubicBezTo>
                    <a:pt x="546215" y="1394890"/>
                    <a:pt x="564059" y="1589737"/>
                    <a:pt x="554400" y="1711755"/>
                  </a:cubicBezTo>
                  <a:cubicBezTo>
                    <a:pt x="544742" y="1833773"/>
                    <a:pt x="531082" y="2196612"/>
                    <a:pt x="554400" y="2377438"/>
                  </a:cubicBezTo>
                  <a:cubicBezTo>
                    <a:pt x="403929" y="2631021"/>
                    <a:pt x="380590" y="2701837"/>
                    <a:pt x="277200" y="2971798"/>
                  </a:cubicBezTo>
                  <a:cubicBezTo>
                    <a:pt x="200157" y="2861442"/>
                    <a:pt x="131714" y="2670097"/>
                    <a:pt x="0" y="2377438"/>
                  </a:cubicBezTo>
                  <a:cubicBezTo>
                    <a:pt x="7945" y="2142335"/>
                    <a:pt x="16666" y="1954406"/>
                    <a:pt x="0" y="1830627"/>
                  </a:cubicBezTo>
                  <a:cubicBezTo>
                    <a:pt x="-16666" y="1706848"/>
                    <a:pt x="-13957" y="1374059"/>
                    <a:pt x="0" y="1236268"/>
                  </a:cubicBezTo>
                  <a:cubicBezTo>
                    <a:pt x="13957" y="1098477"/>
                    <a:pt x="-8376" y="955033"/>
                    <a:pt x="0" y="689457"/>
                  </a:cubicBezTo>
                  <a:cubicBezTo>
                    <a:pt x="8376" y="423881"/>
                    <a:pt x="3386" y="321601"/>
                    <a:pt x="0" y="0"/>
                  </a:cubicBezTo>
                  <a:close/>
                </a:path>
              </a:pathLst>
            </a:custGeom>
            <a:solidFill>
              <a:srgbClr val="0186EB"/>
            </a:solidFill>
            <a:ln>
              <a:noFill/>
              <a:extLst>
                <a:ext uri="{C807C97D-BFC1-408E-A445-0C87EB9F89A2}">
                  <ask:lineSketchStyleProps xmlns:ask="http://schemas.microsoft.com/office/drawing/2018/sketchyshapes" sd="1646562134">
                    <a:prstGeom prst="flowChartOffpageConnector">
                      <a:avLst/>
                    </a:pr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8" name="Flowchart: Off-page Connector 77">
              <a:extLst>
                <a:ext uri="{FF2B5EF4-FFF2-40B4-BE49-F238E27FC236}">
                  <a16:creationId xmlns:a16="http://schemas.microsoft.com/office/drawing/2014/main" id="{F6C83D3A-15D5-09F7-FB5A-3336F8C0F451}"/>
                </a:ext>
              </a:extLst>
            </xdr:cNvPr>
            <xdr:cNvSpPr/>
          </xdr:nvSpPr>
          <xdr:spPr>
            <a:xfrm rot="16200000">
              <a:off x="38027587" y="1946883"/>
              <a:ext cx="554400" cy="2809875"/>
            </a:xfrm>
            <a:custGeom>
              <a:avLst/>
              <a:gdLst>
                <a:gd name="csX0" fmla="*/ 0 w 554400"/>
                <a:gd name="csY0" fmla="*/ 0 h 2809875"/>
                <a:gd name="csX1" fmla="*/ 554400 w 554400"/>
                <a:gd name="csY1" fmla="*/ 0 h 2809875"/>
                <a:gd name="csX2" fmla="*/ 554400 w 554400"/>
                <a:gd name="csY2" fmla="*/ 539496 h 2809875"/>
                <a:gd name="csX3" fmla="*/ 554400 w 554400"/>
                <a:gd name="csY3" fmla="*/ 1123950 h 2809875"/>
                <a:gd name="csX4" fmla="*/ 554400 w 554400"/>
                <a:gd name="csY4" fmla="*/ 1640967 h 2809875"/>
                <a:gd name="csX5" fmla="*/ 554400 w 554400"/>
                <a:gd name="csY5" fmla="*/ 2247900 h 2809875"/>
                <a:gd name="csX6" fmla="*/ 277200 w 554400"/>
                <a:gd name="csY6" fmla="*/ 2809875 h 2809875"/>
                <a:gd name="csX7" fmla="*/ 0 w 554400"/>
                <a:gd name="csY7" fmla="*/ 2247900 h 2809875"/>
                <a:gd name="csX8" fmla="*/ 0 w 554400"/>
                <a:gd name="csY8" fmla="*/ 1663446 h 2809875"/>
                <a:gd name="csX9" fmla="*/ 0 w 554400"/>
                <a:gd name="csY9" fmla="*/ 1056513 h 2809875"/>
                <a:gd name="csX10" fmla="*/ 0 w 554400"/>
                <a:gd name="csY10" fmla="*/ 539496 h 2809875"/>
                <a:gd name="csX11" fmla="*/ 0 w 554400"/>
                <a:gd name="csY11" fmla="*/ 0 h 28098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554400" h="2809875" fill="none" extrusionOk="0">
                  <a:moveTo>
                    <a:pt x="0" y="0"/>
                  </a:moveTo>
                  <a:cubicBezTo>
                    <a:pt x="172840" y="623"/>
                    <a:pt x="362377" y="21991"/>
                    <a:pt x="554400" y="0"/>
                  </a:cubicBezTo>
                  <a:cubicBezTo>
                    <a:pt x="558624" y="134330"/>
                    <a:pt x="528721" y="366945"/>
                    <a:pt x="554400" y="539496"/>
                  </a:cubicBezTo>
                  <a:cubicBezTo>
                    <a:pt x="580079" y="712047"/>
                    <a:pt x="529695" y="949885"/>
                    <a:pt x="554400" y="1123950"/>
                  </a:cubicBezTo>
                  <a:cubicBezTo>
                    <a:pt x="579105" y="1298015"/>
                    <a:pt x="542513" y="1430130"/>
                    <a:pt x="554400" y="1640967"/>
                  </a:cubicBezTo>
                  <a:cubicBezTo>
                    <a:pt x="566287" y="1851804"/>
                    <a:pt x="581547" y="1971534"/>
                    <a:pt x="554400" y="2247900"/>
                  </a:cubicBezTo>
                  <a:cubicBezTo>
                    <a:pt x="487850" y="2438837"/>
                    <a:pt x="325750" y="2666170"/>
                    <a:pt x="277200" y="2809875"/>
                  </a:cubicBezTo>
                  <a:cubicBezTo>
                    <a:pt x="165195" y="2522154"/>
                    <a:pt x="72598" y="2377817"/>
                    <a:pt x="0" y="2247900"/>
                  </a:cubicBezTo>
                  <a:cubicBezTo>
                    <a:pt x="26052" y="1958555"/>
                    <a:pt x="-19089" y="1793812"/>
                    <a:pt x="0" y="1663446"/>
                  </a:cubicBezTo>
                  <a:cubicBezTo>
                    <a:pt x="19089" y="1533080"/>
                    <a:pt x="18712" y="1227136"/>
                    <a:pt x="0" y="1056513"/>
                  </a:cubicBezTo>
                  <a:cubicBezTo>
                    <a:pt x="-18712" y="885890"/>
                    <a:pt x="4205" y="675364"/>
                    <a:pt x="0" y="539496"/>
                  </a:cubicBezTo>
                  <a:cubicBezTo>
                    <a:pt x="-4205" y="403628"/>
                    <a:pt x="-19924" y="113408"/>
                    <a:pt x="0" y="0"/>
                  </a:cubicBezTo>
                  <a:close/>
                </a:path>
                <a:path w="554400" h="2809875" stroke="0" extrusionOk="0">
                  <a:moveTo>
                    <a:pt x="0" y="0"/>
                  </a:moveTo>
                  <a:cubicBezTo>
                    <a:pt x="251980" y="-8937"/>
                    <a:pt x="404395" y="11044"/>
                    <a:pt x="554400" y="0"/>
                  </a:cubicBezTo>
                  <a:cubicBezTo>
                    <a:pt x="542645" y="104065"/>
                    <a:pt x="575066" y="332003"/>
                    <a:pt x="554400" y="517017"/>
                  </a:cubicBezTo>
                  <a:cubicBezTo>
                    <a:pt x="533734" y="702031"/>
                    <a:pt x="556110" y="831764"/>
                    <a:pt x="554400" y="1101471"/>
                  </a:cubicBezTo>
                  <a:cubicBezTo>
                    <a:pt x="552690" y="1371178"/>
                    <a:pt x="560171" y="1465992"/>
                    <a:pt x="554400" y="1618488"/>
                  </a:cubicBezTo>
                  <a:cubicBezTo>
                    <a:pt x="548629" y="1770984"/>
                    <a:pt x="532882" y="2012223"/>
                    <a:pt x="554400" y="2247900"/>
                  </a:cubicBezTo>
                  <a:cubicBezTo>
                    <a:pt x="467627" y="2394834"/>
                    <a:pt x="310976" y="2679236"/>
                    <a:pt x="277200" y="2809875"/>
                  </a:cubicBezTo>
                  <a:cubicBezTo>
                    <a:pt x="144746" y="2573982"/>
                    <a:pt x="59363" y="2413928"/>
                    <a:pt x="0" y="2247900"/>
                  </a:cubicBezTo>
                  <a:cubicBezTo>
                    <a:pt x="-14955" y="2048034"/>
                    <a:pt x="-541" y="1919122"/>
                    <a:pt x="0" y="1730883"/>
                  </a:cubicBezTo>
                  <a:cubicBezTo>
                    <a:pt x="541" y="1542644"/>
                    <a:pt x="14614" y="1405095"/>
                    <a:pt x="0" y="1168908"/>
                  </a:cubicBezTo>
                  <a:cubicBezTo>
                    <a:pt x="-14614" y="932721"/>
                    <a:pt x="-18620" y="786026"/>
                    <a:pt x="0" y="651891"/>
                  </a:cubicBezTo>
                  <a:cubicBezTo>
                    <a:pt x="18620" y="517756"/>
                    <a:pt x="18574" y="284810"/>
                    <a:pt x="0" y="0"/>
                  </a:cubicBezTo>
                  <a:close/>
                </a:path>
              </a:pathLst>
            </a:custGeom>
            <a:solidFill>
              <a:srgbClr val="1FD7A5"/>
            </a:solidFill>
            <a:ln>
              <a:noFill/>
              <a:extLst>
                <a:ext uri="{C807C97D-BFC1-408E-A445-0C87EB9F89A2}">
                  <ask:lineSketchStyleProps xmlns:ask="http://schemas.microsoft.com/office/drawing/2018/sketchyshapes" sd="1646562134">
                    <a:prstGeom prst="flowChartOffpageConnector">
                      <a:avLst/>
                    </a:pr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9" name="Flowchart: Off-page Connector 78">
              <a:extLst>
                <a:ext uri="{FF2B5EF4-FFF2-40B4-BE49-F238E27FC236}">
                  <a16:creationId xmlns:a16="http://schemas.microsoft.com/office/drawing/2014/main" id="{6F09D589-7AD4-E410-9D9C-BBBAAF55FDAB}"/>
                </a:ext>
              </a:extLst>
            </xdr:cNvPr>
            <xdr:cNvSpPr/>
          </xdr:nvSpPr>
          <xdr:spPr>
            <a:xfrm rot="16200000">
              <a:off x="37956977" y="2341346"/>
              <a:ext cx="554400" cy="3106800"/>
            </a:xfrm>
            <a:custGeom>
              <a:avLst/>
              <a:gdLst>
                <a:gd name="csX0" fmla="*/ 0 w 554400"/>
                <a:gd name="csY0" fmla="*/ 0 h 3106800"/>
                <a:gd name="csX1" fmla="*/ 554400 w 554400"/>
                <a:gd name="csY1" fmla="*/ 0 h 3106800"/>
                <a:gd name="csX2" fmla="*/ 554400 w 554400"/>
                <a:gd name="csY2" fmla="*/ 596506 h 3106800"/>
                <a:gd name="csX3" fmla="*/ 554400 w 554400"/>
                <a:gd name="csY3" fmla="*/ 1242720 h 3106800"/>
                <a:gd name="csX4" fmla="*/ 554400 w 554400"/>
                <a:gd name="csY4" fmla="*/ 1814371 h 3106800"/>
                <a:gd name="csX5" fmla="*/ 554400 w 554400"/>
                <a:gd name="csY5" fmla="*/ 2485440 h 3106800"/>
                <a:gd name="csX6" fmla="*/ 277200 w 554400"/>
                <a:gd name="csY6" fmla="*/ 3106800 h 3106800"/>
                <a:gd name="csX7" fmla="*/ 0 w 554400"/>
                <a:gd name="csY7" fmla="*/ 2485440 h 3106800"/>
                <a:gd name="csX8" fmla="*/ 0 w 554400"/>
                <a:gd name="csY8" fmla="*/ 1839226 h 3106800"/>
                <a:gd name="csX9" fmla="*/ 0 w 554400"/>
                <a:gd name="csY9" fmla="*/ 1168157 h 3106800"/>
                <a:gd name="csX10" fmla="*/ 0 w 554400"/>
                <a:gd name="csY10" fmla="*/ 596506 h 3106800"/>
                <a:gd name="csX11" fmla="*/ 0 w 554400"/>
                <a:gd name="csY11" fmla="*/ 0 h 31068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554400" h="3106800" fill="none" extrusionOk="0">
                  <a:moveTo>
                    <a:pt x="0" y="0"/>
                  </a:moveTo>
                  <a:cubicBezTo>
                    <a:pt x="172840" y="623"/>
                    <a:pt x="362377" y="21991"/>
                    <a:pt x="554400" y="0"/>
                  </a:cubicBezTo>
                  <a:cubicBezTo>
                    <a:pt x="531435" y="163757"/>
                    <a:pt x="568408" y="412064"/>
                    <a:pt x="554400" y="596506"/>
                  </a:cubicBezTo>
                  <a:cubicBezTo>
                    <a:pt x="540392" y="780948"/>
                    <a:pt x="552165" y="932128"/>
                    <a:pt x="554400" y="1242720"/>
                  </a:cubicBezTo>
                  <a:cubicBezTo>
                    <a:pt x="556635" y="1553312"/>
                    <a:pt x="562714" y="1615171"/>
                    <a:pt x="554400" y="1814371"/>
                  </a:cubicBezTo>
                  <a:cubicBezTo>
                    <a:pt x="546086" y="2013571"/>
                    <a:pt x="586295" y="2275273"/>
                    <a:pt x="554400" y="2485440"/>
                  </a:cubicBezTo>
                  <a:cubicBezTo>
                    <a:pt x="466056" y="2729195"/>
                    <a:pt x="361085" y="2870008"/>
                    <a:pt x="277200" y="3106800"/>
                  </a:cubicBezTo>
                  <a:cubicBezTo>
                    <a:pt x="219670" y="2909307"/>
                    <a:pt x="67523" y="2693560"/>
                    <a:pt x="0" y="2485440"/>
                  </a:cubicBezTo>
                  <a:cubicBezTo>
                    <a:pt x="-12986" y="2311074"/>
                    <a:pt x="4374" y="2153402"/>
                    <a:pt x="0" y="1839226"/>
                  </a:cubicBezTo>
                  <a:cubicBezTo>
                    <a:pt x="-4374" y="1525050"/>
                    <a:pt x="-26933" y="1379618"/>
                    <a:pt x="0" y="1168157"/>
                  </a:cubicBezTo>
                  <a:cubicBezTo>
                    <a:pt x="26933" y="956696"/>
                    <a:pt x="1361" y="741107"/>
                    <a:pt x="0" y="596506"/>
                  </a:cubicBezTo>
                  <a:cubicBezTo>
                    <a:pt x="-1361" y="451905"/>
                    <a:pt x="3883" y="289971"/>
                    <a:pt x="0" y="0"/>
                  </a:cubicBezTo>
                  <a:close/>
                </a:path>
                <a:path w="554400" h="3106800" stroke="0" extrusionOk="0">
                  <a:moveTo>
                    <a:pt x="0" y="0"/>
                  </a:moveTo>
                  <a:cubicBezTo>
                    <a:pt x="251980" y="-8937"/>
                    <a:pt x="404395" y="11044"/>
                    <a:pt x="554400" y="0"/>
                  </a:cubicBezTo>
                  <a:cubicBezTo>
                    <a:pt x="572298" y="230131"/>
                    <a:pt x="557342" y="308098"/>
                    <a:pt x="554400" y="571651"/>
                  </a:cubicBezTo>
                  <a:cubicBezTo>
                    <a:pt x="551458" y="835204"/>
                    <a:pt x="558375" y="944096"/>
                    <a:pt x="554400" y="1217866"/>
                  </a:cubicBezTo>
                  <a:cubicBezTo>
                    <a:pt x="550425" y="1491636"/>
                    <a:pt x="528169" y="1630824"/>
                    <a:pt x="554400" y="1789517"/>
                  </a:cubicBezTo>
                  <a:cubicBezTo>
                    <a:pt x="580631" y="1948210"/>
                    <a:pt x="569576" y="2182913"/>
                    <a:pt x="554400" y="2485440"/>
                  </a:cubicBezTo>
                  <a:cubicBezTo>
                    <a:pt x="428147" y="2715075"/>
                    <a:pt x="374036" y="2874178"/>
                    <a:pt x="277200" y="3106800"/>
                  </a:cubicBezTo>
                  <a:cubicBezTo>
                    <a:pt x="179144" y="2911151"/>
                    <a:pt x="89854" y="2766068"/>
                    <a:pt x="0" y="2485440"/>
                  </a:cubicBezTo>
                  <a:cubicBezTo>
                    <a:pt x="12037" y="2264735"/>
                    <a:pt x="-15049" y="2050776"/>
                    <a:pt x="0" y="1913789"/>
                  </a:cubicBezTo>
                  <a:cubicBezTo>
                    <a:pt x="15049" y="1776802"/>
                    <a:pt x="16940" y="1597153"/>
                    <a:pt x="0" y="1292429"/>
                  </a:cubicBezTo>
                  <a:cubicBezTo>
                    <a:pt x="-16940" y="987705"/>
                    <a:pt x="5771" y="871065"/>
                    <a:pt x="0" y="720778"/>
                  </a:cubicBezTo>
                  <a:cubicBezTo>
                    <a:pt x="-5771" y="570491"/>
                    <a:pt x="4144" y="205674"/>
                    <a:pt x="0" y="0"/>
                  </a:cubicBezTo>
                  <a:close/>
                </a:path>
              </a:pathLst>
            </a:custGeom>
            <a:solidFill>
              <a:srgbClr val="F8BC2F"/>
            </a:solidFill>
            <a:ln>
              <a:noFill/>
              <a:extLst>
                <a:ext uri="{C807C97D-BFC1-408E-A445-0C87EB9F89A2}">
                  <ask:lineSketchStyleProps xmlns:ask="http://schemas.microsoft.com/office/drawing/2018/sketchyshapes" sd="1646562134">
                    <a:prstGeom prst="flowChartOffpageConnector">
                      <a:avLst/>
                    </a:pr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0" name="Flowchart: Off-page Connector 79">
              <a:extLst>
                <a:ext uri="{FF2B5EF4-FFF2-40B4-BE49-F238E27FC236}">
                  <a16:creationId xmlns:a16="http://schemas.microsoft.com/office/drawing/2014/main" id="{66434CE7-4365-96B6-EE93-C0C70E197304}"/>
                </a:ext>
              </a:extLst>
            </xdr:cNvPr>
            <xdr:cNvSpPr/>
          </xdr:nvSpPr>
          <xdr:spPr>
            <a:xfrm rot="16200000">
              <a:off x="38151416" y="2908908"/>
              <a:ext cx="554400" cy="3038476"/>
            </a:xfrm>
            <a:custGeom>
              <a:avLst/>
              <a:gdLst>
                <a:gd name="csX0" fmla="*/ 0 w 554400"/>
                <a:gd name="csY0" fmla="*/ 0 h 3038476"/>
                <a:gd name="csX1" fmla="*/ 554400 w 554400"/>
                <a:gd name="csY1" fmla="*/ 0 h 3038476"/>
                <a:gd name="csX2" fmla="*/ 554400 w 554400"/>
                <a:gd name="csY2" fmla="*/ 583387 h 3038476"/>
                <a:gd name="csX3" fmla="*/ 554400 w 554400"/>
                <a:gd name="csY3" fmla="*/ 1215390 h 3038476"/>
                <a:gd name="csX4" fmla="*/ 554400 w 554400"/>
                <a:gd name="csY4" fmla="*/ 1774469 h 3038476"/>
                <a:gd name="csX5" fmla="*/ 554400 w 554400"/>
                <a:gd name="csY5" fmla="*/ 2430780 h 3038476"/>
                <a:gd name="csX6" fmla="*/ 277200 w 554400"/>
                <a:gd name="csY6" fmla="*/ 3038476 h 3038476"/>
                <a:gd name="csX7" fmla="*/ 0 w 554400"/>
                <a:gd name="csY7" fmla="*/ 2430780 h 3038476"/>
                <a:gd name="csX8" fmla="*/ 0 w 554400"/>
                <a:gd name="csY8" fmla="*/ 1798777 h 3038476"/>
                <a:gd name="csX9" fmla="*/ 0 w 554400"/>
                <a:gd name="csY9" fmla="*/ 1142467 h 3038476"/>
                <a:gd name="csX10" fmla="*/ 0 w 554400"/>
                <a:gd name="csY10" fmla="*/ 583387 h 3038476"/>
                <a:gd name="csX11" fmla="*/ 0 w 554400"/>
                <a:gd name="csY11" fmla="*/ 0 h 303847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Lst>
              <a:rect l="l" t="t" r="r" b="b"/>
              <a:pathLst>
                <a:path w="554400" h="3038476" fill="none" extrusionOk="0">
                  <a:moveTo>
                    <a:pt x="0" y="0"/>
                  </a:moveTo>
                  <a:cubicBezTo>
                    <a:pt x="172840" y="623"/>
                    <a:pt x="362377" y="21991"/>
                    <a:pt x="554400" y="0"/>
                  </a:cubicBezTo>
                  <a:cubicBezTo>
                    <a:pt x="556492" y="281811"/>
                    <a:pt x="528602" y="384177"/>
                    <a:pt x="554400" y="583387"/>
                  </a:cubicBezTo>
                  <a:cubicBezTo>
                    <a:pt x="580198" y="782597"/>
                    <a:pt x="539431" y="1046752"/>
                    <a:pt x="554400" y="1215390"/>
                  </a:cubicBezTo>
                  <a:cubicBezTo>
                    <a:pt x="569369" y="1384028"/>
                    <a:pt x="552662" y="1660284"/>
                    <a:pt x="554400" y="1774469"/>
                  </a:cubicBezTo>
                  <a:cubicBezTo>
                    <a:pt x="556138" y="1888654"/>
                    <a:pt x="585577" y="2235532"/>
                    <a:pt x="554400" y="2430780"/>
                  </a:cubicBezTo>
                  <a:cubicBezTo>
                    <a:pt x="449781" y="2673670"/>
                    <a:pt x="344120" y="2827132"/>
                    <a:pt x="277200" y="3038476"/>
                  </a:cubicBezTo>
                  <a:cubicBezTo>
                    <a:pt x="159496" y="2851189"/>
                    <a:pt x="83587" y="2595749"/>
                    <a:pt x="0" y="2430780"/>
                  </a:cubicBezTo>
                  <a:cubicBezTo>
                    <a:pt x="-2803" y="2117289"/>
                    <a:pt x="-21344" y="2045597"/>
                    <a:pt x="0" y="1798777"/>
                  </a:cubicBezTo>
                  <a:cubicBezTo>
                    <a:pt x="21344" y="1551957"/>
                    <a:pt x="10016" y="1343605"/>
                    <a:pt x="0" y="1142467"/>
                  </a:cubicBezTo>
                  <a:cubicBezTo>
                    <a:pt x="-10016" y="941329"/>
                    <a:pt x="-22633" y="705101"/>
                    <a:pt x="0" y="583387"/>
                  </a:cubicBezTo>
                  <a:cubicBezTo>
                    <a:pt x="22633" y="461673"/>
                    <a:pt x="-2161" y="175723"/>
                    <a:pt x="0" y="0"/>
                  </a:cubicBezTo>
                  <a:close/>
                </a:path>
                <a:path w="554400" h="3038476" stroke="0" extrusionOk="0">
                  <a:moveTo>
                    <a:pt x="0" y="0"/>
                  </a:moveTo>
                  <a:cubicBezTo>
                    <a:pt x="251980" y="-8937"/>
                    <a:pt x="404395" y="11044"/>
                    <a:pt x="554400" y="0"/>
                  </a:cubicBezTo>
                  <a:cubicBezTo>
                    <a:pt x="546682" y="132648"/>
                    <a:pt x="579197" y="319913"/>
                    <a:pt x="554400" y="559079"/>
                  </a:cubicBezTo>
                  <a:cubicBezTo>
                    <a:pt x="529603" y="798245"/>
                    <a:pt x="540529" y="1028796"/>
                    <a:pt x="554400" y="1191082"/>
                  </a:cubicBezTo>
                  <a:cubicBezTo>
                    <a:pt x="568271" y="1353368"/>
                    <a:pt x="579840" y="1589984"/>
                    <a:pt x="554400" y="1750162"/>
                  </a:cubicBezTo>
                  <a:cubicBezTo>
                    <a:pt x="528960" y="1910340"/>
                    <a:pt x="526944" y="2147556"/>
                    <a:pt x="554400" y="2430780"/>
                  </a:cubicBezTo>
                  <a:cubicBezTo>
                    <a:pt x="504678" y="2590361"/>
                    <a:pt x="342835" y="2820982"/>
                    <a:pt x="277200" y="3038476"/>
                  </a:cubicBezTo>
                  <a:cubicBezTo>
                    <a:pt x="156203" y="2748708"/>
                    <a:pt x="145430" y="2724835"/>
                    <a:pt x="0" y="2430780"/>
                  </a:cubicBezTo>
                  <a:cubicBezTo>
                    <a:pt x="-13176" y="2224699"/>
                    <a:pt x="-20319" y="2132362"/>
                    <a:pt x="0" y="1871701"/>
                  </a:cubicBezTo>
                  <a:cubicBezTo>
                    <a:pt x="20319" y="1611040"/>
                    <a:pt x="19567" y="1484443"/>
                    <a:pt x="0" y="1264006"/>
                  </a:cubicBezTo>
                  <a:cubicBezTo>
                    <a:pt x="-19567" y="1043570"/>
                    <a:pt x="-23257" y="962580"/>
                    <a:pt x="0" y="704926"/>
                  </a:cubicBezTo>
                  <a:cubicBezTo>
                    <a:pt x="23257" y="447272"/>
                    <a:pt x="31503" y="165881"/>
                    <a:pt x="0" y="0"/>
                  </a:cubicBezTo>
                  <a:close/>
                </a:path>
              </a:pathLst>
            </a:custGeom>
            <a:solidFill>
              <a:srgbClr val="FF9614"/>
            </a:solidFill>
            <a:ln>
              <a:noFill/>
              <a:extLst>
                <a:ext uri="{C807C97D-BFC1-408E-A445-0C87EB9F89A2}">
                  <ask:lineSketchStyleProps xmlns:ask="http://schemas.microsoft.com/office/drawing/2018/sketchyshapes" sd="1646562134">
                    <a:prstGeom prst="flowChartOffpageConnector">
                      <a:avLst/>
                    </a:pr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1" name="Flowchart: Off-page Connector 80">
              <a:extLst>
                <a:ext uri="{FF2B5EF4-FFF2-40B4-BE49-F238E27FC236}">
                  <a16:creationId xmlns:a16="http://schemas.microsoft.com/office/drawing/2014/main" id="{F720BF5A-7056-3DF9-5833-461B6B56D002}"/>
                </a:ext>
              </a:extLst>
            </xdr:cNvPr>
            <xdr:cNvSpPr/>
          </xdr:nvSpPr>
          <xdr:spPr>
            <a:xfrm rot="16200000">
              <a:off x="38099026" y="3275622"/>
              <a:ext cx="554400" cy="3390898"/>
            </a:xfrm>
            <a:custGeom>
              <a:avLst/>
              <a:gdLst>
                <a:gd name="csX0" fmla="*/ 0 w 554400"/>
                <a:gd name="csY0" fmla="*/ 0 h 3390898"/>
                <a:gd name="csX1" fmla="*/ 554400 w 554400"/>
                <a:gd name="csY1" fmla="*/ 0 h 3390898"/>
                <a:gd name="csX2" fmla="*/ 554400 w 554400"/>
                <a:gd name="csY2" fmla="*/ 651052 h 3390898"/>
                <a:gd name="csX3" fmla="*/ 554400 w 554400"/>
                <a:gd name="csY3" fmla="*/ 1274977 h 3390898"/>
                <a:gd name="csX4" fmla="*/ 554400 w 554400"/>
                <a:gd name="csY4" fmla="*/ 1898903 h 3390898"/>
                <a:gd name="csX5" fmla="*/ 554400 w 554400"/>
                <a:gd name="csY5" fmla="*/ 2712718 h 3390898"/>
                <a:gd name="csX6" fmla="*/ 415800 w 554400"/>
                <a:gd name="csY6" fmla="*/ 3051808 h 3390898"/>
                <a:gd name="csX7" fmla="*/ 277200 w 554400"/>
                <a:gd name="csY7" fmla="*/ 3390898 h 3390898"/>
                <a:gd name="csX8" fmla="*/ 146916 w 554400"/>
                <a:gd name="csY8" fmla="*/ 3072153 h 3390898"/>
                <a:gd name="csX9" fmla="*/ 0 w 554400"/>
                <a:gd name="csY9" fmla="*/ 2712718 h 3390898"/>
                <a:gd name="csX10" fmla="*/ 0 w 554400"/>
                <a:gd name="csY10" fmla="*/ 1980284 h 3390898"/>
                <a:gd name="csX11" fmla="*/ 0 w 554400"/>
                <a:gd name="csY11" fmla="*/ 1274977 h 3390898"/>
                <a:gd name="csX12" fmla="*/ 0 w 554400"/>
                <a:gd name="csY12" fmla="*/ 623925 h 3390898"/>
                <a:gd name="csX13" fmla="*/ 0 w 554400"/>
                <a:gd name="csY13" fmla="*/ 0 h 339089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554400" h="3390898" fill="none" extrusionOk="0">
                  <a:moveTo>
                    <a:pt x="0" y="0"/>
                  </a:moveTo>
                  <a:cubicBezTo>
                    <a:pt x="267363" y="16994"/>
                    <a:pt x="328992" y="20"/>
                    <a:pt x="554400" y="0"/>
                  </a:cubicBezTo>
                  <a:cubicBezTo>
                    <a:pt x="550846" y="252708"/>
                    <a:pt x="565431" y="466376"/>
                    <a:pt x="554400" y="651052"/>
                  </a:cubicBezTo>
                  <a:cubicBezTo>
                    <a:pt x="543369" y="835728"/>
                    <a:pt x="535273" y="1017009"/>
                    <a:pt x="554400" y="1274977"/>
                  </a:cubicBezTo>
                  <a:cubicBezTo>
                    <a:pt x="573527" y="1532946"/>
                    <a:pt x="543312" y="1691859"/>
                    <a:pt x="554400" y="1898903"/>
                  </a:cubicBezTo>
                  <a:cubicBezTo>
                    <a:pt x="565488" y="2105947"/>
                    <a:pt x="581367" y="2499911"/>
                    <a:pt x="554400" y="2712718"/>
                  </a:cubicBezTo>
                  <a:cubicBezTo>
                    <a:pt x="508602" y="2837164"/>
                    <a:pt x="483028" y="2897946"/>
                    <a:pt x="415800" y="3051808"/>
                  </a:cubicBezTo>
                  <a:cubicBezTo>
                    <a:pt x="348572" y="3205670"/>
                    <a:pt x="332098" y="3240367"/>
                    <a:pt x="277200" y="3390898"/>
                  </a:cubicBezTo>
                  <a:cubicBezTo>
                    <a:pt x="242753" y="3268792"/>
                    <a:pt x="198115" y="3200307"/>
                    <a:pt x="146916" y="3072153"/>
                  </a:cubicBezTo>
                  <a:cubicBezTo>
                    <a:pt x="95716" y="2943999"/>
                    <a:pt x="49550" y="2881186"/>
                    <a:pt x="0" y="2712718"/>
                  </a:cubicBezTo>
                  <a:cubicBezTo>
                    <a:pt x="-3778" y="2418987"/>
                    <a:pt x="23421" y="2148731"/>
                    <a:pt x="0" y="1980284"/>
                  </a:cubicBezTo>
                  <a:cubicBezTo>
                    <a:pt x="-23421" y="1811837"/>
                    <a:pt x="20412" y="1625358"/>
                    <a:pt x="0" y="1274977"/>
                  </a:cubicBezTo>
                  <a:cubicBezTo>
                    <a:pt x="-20412" y="924596"/>
                    <a:pt x="8786" y="815672"/>
                    <a:pt x="0" y="623925"/>
                  </a:cubicBezTo>
                  <a:cubicBezTo>
                    <a:pt x="-8786" y="432178"/>
                    <a:pt x="12130" y="217868"/>
                    <a:pt x="0" y="0"/>
                  </a:cubicBezTo>
                  <a:close/>
                </a:path>
                <a:path w="554400" h="3390898" stroke="0" extrusionOk="0">
                  <a:moveTo>
                    <a:pt x="0" y="0"/>
                  </a:moveTo>
                  <a:cubicBezTo>
                    <a:pt x="251980" y="-8937"/>
                    <a:pt x="404395" y="11044"/>
                    <a:pt x="554400" y="0"/>
                  </a:cubicBezTo>
                  <a:cubicBezTo>
                    <a:pt x="573673" y="139092"/>
                    <a:pt x="539064" y="457435"/>
                    <a:pt x="554400" y="623925"/>
                  </a:cubicBezTo>
                  <a:cubicBezTo>
                    <a:pt x="569736" y="790415"/>
                    <a:pt x="584121" y="985549"/>
                    <a:pt x="554400" y="1329232"/>
                  </a:cubicBezTo>
                  <a:cubicBezTo>
                    <a:pt x="524679" y="1672915"/>
                    <a:pt x="531125" y="1764122"/>
                    <a:pt x="554400" y="1953157"/>
                  </a:cubicBezTo>
                  <a:cubicBezTo>
                    <a:pt x="577675" y="2142192"/>
                    <a:pt x="543985" y="2534834"/>
                    <a:pt x="554400" y="2712718"/>
                  </a:cubicBezTo>
                  <a:cubicBezTo>
                    <a:pt x="512290" y="2782538"/>
                    <a:pt x="470651" y="2909604"/>
                    <a:pt x="418572" y="3045026"/>
                  </a:cubicBezTo>
                  <a:cubicBezTo>
                    <a:pt x="366493" y="3180448"/>
                    <a:pt x="318470" y="3305421"/>
                    <a:pt x="277200" y="3390898"/>
                  </a:cubicBezTo>
                  <a:cubicBezTo>
                    <a:pt x="204205" y="3239489"/>
                    <a:pt x="174204" y="3175405"/>
                    <a:pt x="141372" y="3058590"/>
                  </a:cubicBezTo>
                  <a:cubicBezTo>
                    <a:pt x="108540" y="2941775"/>
                    <a:pt x="66384" y="2886151"/>
                    <a:pt x="0" y="2712718"/>
                  </a:cubicBezTo>
                  <a:cubicBezTo>
                    <a:pt x="-23827" y="2568584"/>
                    <a:pt x="-33180" y="2255518"/>
                    <a:pt x="0" y="2034539"/>
                  </a:cubicBezTo>
                  <a:cubicBezTo>
                    <a:pt x="33180" y="1813560"/>
                    <a:pt x="9220" y="1468943"/>
                    <a:pt x="0" y="1302105"/>
                  </a:cubicBezTo>
                  <a:cubicBezTo>
                    <a:pt x="-9220" y="1135267"/>
                    <a:pt x="46093" y="596211"/>
                    <a:pt x="0" y="0"/>
                  </a:cubicBezTo>
                  <a:close/>
                </a:path>
              </a:pathLst>
            </a:custGeom>
            <a:solidFill>
              <a:srgbClr val="EC3957"/>
            </a:solidFill>
            <a:ln>
              <a:noFill/>
              <a:extLst>
                <a:ext uri="{C807C97D-BFC1-408E-A445-0C87EB9F89A2}">
                  <ask:lineSketchStyleProps xmlns:ask="http://schemas.microsoft.com/office/drawing/2018/sketchyshapes" sd="1646562134">
                    <a:prstGeom prst="flowChartOffpageConnector">
                      <a:avLst/>
                    </a:pr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grpSp>
        <xdr:nvGrpSpPr>
          <xdr:cNvPr id="40" name="Group 39">
            <a:extLst>
              <a:ext uri="{FF2B5EF4-FFF2-40B4-BE49-F238E27FC236}">
                <a16:creationId xmlns:a16="http://schemas.microsoft.com/office/drawing/2014/main" id="{DC02E586-CE7E-B602-D725-BF13A92180B0}"/>
              </a:ext>
            </a:extLst>
          </xdr:cNvPr>
          <xdr:cNvGrpSpPr/>
        </xdr:nvGrpSpPr>
        <xdr:grpSpPr>
          <a:xfrm>
            <a:off x="35956875" y="2495550"/>
            <a:ext cx="1283677" cy="2781300"/>
            <a:chOff x="35956875" y="2495550"/>
            <a:chExt cx="1283677" cy="2781300"/>
          </a:xfrm>
        </xdr:grpSpPr>
        <xdr:grpSp>
          <xdr:nvGrpSpPr>
            <xdr:cNvPr id="65" name="Group 64">
              <a:extLst>
                <a:ext uri="{FF2B5EF4-FFF2-40B4-BE49-F238E27FC236}">
                  <a16:creationId xmlns:a16="http://schemas.microsoft.com/office/drawing/2014/main" id="{9371B1F2-0ABA-A259-9C15-6B08EFD319F2}"/>
                </a:ext>
              </a:extLst>
            </xdr:cNvPr>
            <xdr:cNvGrpSpPr/>
          </xdr:nvGrpSpPr>
          <xdr:grpSpPr>
            <a:xfrm>
              <a:off x="35956875" y="2495550"/>
              <a:ext cx="1283677" cy="2781300"/>
              <a:chOff x="36118800" y="2400300"/>
              <a:chExt cx="1371600" cy="2971800"/>
            </a:xfrm>
          </xdr:grpSpPr>
          <xdr:sp macro="" textlink="">
            <xdr:nvSpPr>
              <xdr:cNvPr id="72" name="Diamond 71">
                <a:extLst>
                  <a:ext uri="{FF2B5EF4-FFF2-40B4-BE49-F238E27FC236}">
                    <a16:creationId xmlns:a16="http://schemas.microsoft.com/office/drawing/2014/main" id="{E1683C05-D2A0-7800-7EFA-23ADADD6133F}"/>
                  </a:ext>
                </a:extLst>
              </xdr:cNvPr>
              <xdr:cNvSpPr/>
            </xdr:nvSpPr>
            <xdr:spPr>
              <a:xfrm>
                <a:off x="36118800" y="2400300"/>
                <a:ext cx="895350" cy="895350"/>
              </a:xfrm>
              <a:prstGeom prst="diamond">
                <a:avLst/>
              </a:prstGeom>
              <a:solidFill>
                <a:schemeClr val="bg1"/>
              </a:solidFill>
              <a:ln>
                <a:solidFill>
                  <a:schemeClr val="bg1">
                    <a:lumMod val="95000"/>
                  </a:schemeClr>
                </a:solidFill>
              </a:ln>
              <a:effectLst>
                <a:outerShdw blurRad="50800" dist="38100" dir="2700000" algn="tl"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3" name="Diamond 72">
                <a:extLst>
                  <a:ext uri="{FF2B5EF4-FFF2-40B4-BE49-F238E27FC236}">
                    <a16:creationId xmlns:a16="http://schemas.microsoft.com/office/drawing/2014/main" id="{C047A586-07CC-4407-5FEC-DCD24A21C71C}"/>
                  </a:ext>
                </a:extLst>
              </xdr:cNvPr>
              <xdr:cNvSpPr/>
            </xdr:nvSpPr>
            <xdr:spPr>
              <a:xfrm>
                <a:off x="36595050" y="2914650"/>
                <a:ext cx="895350" cy="895350"/>
              </a:xfrm>
              <a:prstGeom prst="diamond">
                <a:avLst/>
              </a:prstGeom>
              <a:solidFill>
                <a:schemeClr val="bg1"/>
              </a:solidFill>
              <a:ln>
                <a:solidFill>
                  <a:schemeClr val="bg1">
                    <a:lumMod val="95000"/>
                  </a:schemeClr>
                </a:solidFill>
              </a:ln>
              <a:effectLst>
                <a:outerShdw blurRad="50800" dist="38100" dir="2700000" algn="tl"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4" name="Diamond 73">
                <a:extLst>
                  <a:ext uri="{FF2B5EF4-FFF2-40B4-BE49-F238E27FC236}">
                    <a16:creationId xmlns:a16="http://schemas.microsoft.com/office/drawing/2014/main" id="{869A6921-B678-6A99-215B-AD6C4DFC5997}"/>
                  </a:ext>
                </a:extLst>
              </xdr:cNvPr>
              <xdr:cNvSpPr/>
            </xdr:nvSpPr>
            <xdr:spPr>
              <a:xfrm>
                <a:off x="36118800" y="3429000"/>
                <a:ext cx="895350" cy="895350"/>
              </a:xfrm>
              <a:prstGeom prst="diamond">
                <a:avLst/>
              </a:prstGeom>
              <a:solidFill>
                <a:schemeClr val="bg1"/>
              </a:solidFill>
              <a:ln>
                <a:solidFill>
                  <a:schemeClr val="bg1">
                    <a:lumMod val="95000"/>
                  </a:schemeClr>
                </a:solidFill>
              </a:ln>
              <a:effectLst>
                <a:outerShdw blurRad="50800" dist="38100" dir="2700000" algn="tl"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5" name="Diamond 74">
                <a:extLst>
                  <a:ext uri="{FF2B5EF4-FFF2-40B4-BE49-F238E27FC236}">
                    <a16:creationId xmlns:a16="http://schemas.microsoft.com/office/drawing/2014/main" id="{64FF7624-8DBA-9E61-02DC-7690ED9547A2}"/>
                  </a:ext>
                </a:extLst>
              </xdr:cNvPr>
              <xdr:cNvSpPr/>
            </xdr:nvSpPr>
            <xdr:spPr>
              <a:xfrm>
                <a:off x="36595050" y="3952875"/>
                <a:ext cx="895350" cy="895350"/>
              </a:xfrm>
              <a:prstGeom prst="diamond">
                <a:avLst/>
              </a:prstGeom>
              <a:solidFill>
                <a:schemeClr val="bg1"/>
              </a:solidFill>
              <a:ln>
                <a:solidFill>
                  <a:schemeClr val="bg1">
                    <a:lumMod val="95000"/>
                  </a:schemeClr>
                </a:solidFill>
              </a:ln>
              <a:effectLst>
                <a:outerShdw blurRad="50800" dist="38100" dir="2700000" algn="tl"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6" name="Diamond 75">
                <a:extLst>
                  <a:ext uri="{FF2B5EF4-FFF2-40B4-BE49-F238E27FC236}">
                    <a16:creationId xmlns:a16="http://schemas.microsoft.com/office/drawing/2014/main" id="{F6305669-C19E-ED7A-7706-10A6767993B3}"/>
                  </a:ext>
                </a:extLst>
              </xdr:cNvPr>
              <xdr:cNvSpPr/>
            </xdr:nvSpPr>
            <xdr:spPr>
              <a:xfrm>
                <a:off x="36118800" y="4476750"/>
                <a:ext cx="895350" cy="895350"/>
              </a:xfrm>
              <a:prstGeom prst="diamond">
                <a:avLst/>
              </a:prstGeom>
              <a:solidFill>
                <a:schemeClr val="bg1"/>
              </a:solidFill>
              <a:ln>
                <a:solidFill>
                  <a:schemeClr val="bg1">
                    <a:lumMod val="95000"/>
                  </a:schemeClr>
                </a:solidFill>
              </a:ln>
              <a:effectLst>
                <a:outerShdw blurRad="50800" dist="38100" dir="2700000" algn="tl"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grpSp>
          <xdr:nvGrpSpPr>
            <xdr:cNvPr id="66" name="Group 65">
              <a:extLst>
                <a:ext uri="{FF2B5EF4-FFF2-40B4-BE49-F238E27FC236}">
                  <a16:creationId xmlns:a16="http://schemas.microsoft.com/office/drawing/2014/main" id="{28289713-C621-A248-F277-52C4C9C44D4A}"/>
                </a:ext>
              </a:extLst>
            </xdr:cNvPr>
            <xdr:cNvGrpSpPr/>
          </xdr:nvGrpSpPr>
          <xdr:grpSpPr>
            <a:xfrm>
              <a:off x="36109276" y="2752726"/>
              <a:ext cx="981075" cy="2247899"/>
              <a:chOff x="36109276" y="2752726"/>
              <a:chExt cx="981075" cy="2247899"/>
            </a:xfrm>
          </xdr:grpSpPr>
          <xdr:sp macro="" textlink="">
            <xdr:nvSpPr>
              <xdr:cNvPr id="67" name="TextBox 66">
                <a:extLst>
                  <a:ext uri="{FF2B5EF4-FFF2-40B4-BE49-F238E27FC236}">
                    <a16:creationId xmlns:a16="http://schemas.microsoft.com/office/drawing/2014/main" id="{5A0E6FBA-267B-D866-0891-174F37029A20}"/>
                  </a:ext>
                </a:extLst>
              </xdr:cNvPr>
              <xdr:cNvSpPr txBox="1"/>
            </xdr:nvSpPr>
            <xdr:spPr>
              <a:xfrm>
                <a:off x="36118801" y="2752726"/>
                <a:ext cx="51435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rgbClr val="0186EB"/>
                    </a:solidFill>
                  </a:rPr>
                  <a:t>01</a:t>
                </a:r>
              </a:p>
            </xdr:txBody>
          </xdr:sp>
          <xdr:sp macro="" textlink="">
            <xdr:nvSpPr>
              <xdr:cNvPr id="68" name="TextBox 67">
                <a:extLst>
                  <a:ext uri="{FF2B5EF4-FFF2-40B4-BE49-F238E27FC236}">
                    <a16:creationId xmlns:a16="http://schemas.microsoft.com/office/drawing/2014/main" id="{18276CB7-8414-E18C-B1FE-F160A3684FB2}"/>
                  </a:ext>
                </a:extLst>
              </xdr:cNvPr>
              <xdr:cNvSpPr txBox="1"/>
            </xdr:nvSpPr>
            <xdr:spPr>
              <a:xfrm>
                <a:off x="36566476" y="3238501"/>
                <a:ext cx="51435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rgbClr val="1FD7A5"/>
                    </a:solidFill>
                  </a:rPr>
                  <a:t>02</a:t>
                </a:r>
              </a:p>
            </xdr:txBody>
          </xdr:sp>
          <xdr:sp macro="" textlink="">
            <xdr:nvSpPr>
              <xdr:cNvPr id="69" name="TextBox 68">
                <a:extLst>
                  <a:ext uri="{FF2B5EF4-FFF2-40B4-BE49-F238E27FC236}">
                    <a16:creationId xmlns:a16="http://schemas.microsoft.com/office/drawing/2014/main" id="{8FF9BCB6-8255-1555-A9C7-F82EE3BB6805}"/>
                  </a:ext>
                </a:extLst>
              </xdr:cNvPr>
              <xdr:cNvSpPr txBox="1"/>
            </xdr:nvSpPr>
            <xdr:spPr>
              <a:xfrm>
                <a:off x="36137851" y="3733801"/>
                <a:ext cx="51435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rgbClr val="F8BC2F"/>
                    </a:solidFill>
                  </a:rPr>
                  <a:t>03</a:t>
                </a:r>
              </a:p>
            </xdr:txBody>
          </xdr:sp>
          <xdr:sp macro="" textlink="">
            <xdr:nvSpPr>
              <xdr:cNvPr id="70" name="TextBox 69">
                <a:extLst>
                  <a:ext uri="{FF2B5EF4-FFF2-40B4-BE49-F238E27FC236}">
                    <a16:creationId xmlns:a16="http://schemas.microsoft.com/office/drawing/2014/main" id="{A7C34856-C9B8-C139-8DD9-83DD48884884}"/>
                  </a:ext>
                </a:extLst>
              </xdr:cNvPr>
              <xdr:cNvSpPr txBox="1"/>
            </xdr:nvSpPr>
            <xdr:spPr>
              <a:xfrm>
                <a:off x="36576001" y="4210051"/>
                <a:ext cx="51435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rgbClr val="FF9614"/>
                    </a:solidFill>
                  </a:rPr>
                  <a:t>04</a:t>
                </a:r>
              </a:p>
            </xdr:txBody>
          </xdr:sp>
          <xdr:sp macro="" textlink="">
            <xdr:nvSpPr>
              <xdr:cNvPr id="71" name="TextBox 70">
                <a:extLst>
                  <a:ext uri="{FF2B5EF4-FFF2-40B4-BE49-F238E27FC236}">
                    <a16:creationId xmlns:a16="http://schemas.microsoft.com/office/drawing/2014/main" id="{F4614BFD-20D1-E54D-8B0D-659AE23E9DD3}"/>
                  </a:ext>
                </a:extLst>
              </xdr:cNvPr>
              <xdr:cNvSpPr txBox="1"/>
            </xdr:nvSpPr>
            <xdr:spPr>
              <a:xfrm>
                <a:off x="36109276" y="4695826"/>
                <a:ext cx="514350"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rgbClr val="EC3957"/>
                    </a:solidFill>
                  </a:rPr>
                  <a:t>05</a:t>
                </a:r>
              </a:p>
            </xdr:txBody>
          </xdr:sp>
        </xdr:grpSp>
      </xdr:grpSp>
      <xdr:grpSp>
        <xdr:nvGrpSpPr>
          <xdr:cNvPr id="41" name="Group 40">
            <a:extLst>
              <a:ext uri="{FF2B5EF4-FFF2-40B4-BE49-F238E27FC236}">
                <a16:creationId xmlns:a16="http://schemas.microsoft.com/office/drawing/2014/main" id="{55191294-973E-9D72-58A3-CF6080F91D83}"/>
              </a:ext>
            </a:extLst>
          </xdr:cNvPr>
          <xdr:cNvGrpSpPr/>
        </xdr:nvGrpSpPr>
        <xdr:grpSpPr>
          <a:xfrm>
            <a:off x="37033201" y="2657475"/>
            <a:ext cx="666750" cy="2238376"/>
            <a:chOff x="36976050" y="2638425"/>
            <a:chExt cx="2427387" cy="2238376"/>
          </a:xfrm>
        </xdr:grpSpPr>
        <xdr:sp macro="" textlink="'Công thức'!$AK$3">
          <xdr:nvSpPr>
            <xdr:cNvPr id="60" name="TextBox 59">
              <a:extLst>
                <a:ext uri="{FF2B5EF4-FFF2-40B4-BE49-F238E27FC236}">
                  <a16:creationId xmlns:a16="http://schemas.microsoft.com/office/drawing/2014/main" id="{1EE02EA0-75CE-F601-4084-B534586E3D97}"/>
                </a:ext>
              </a:extLst>
            </xdr:cNvPr>
            <xdr:cNvSpPr txBox="1"/>
          </xdr:nvSpPr>
          <xdr:spPr>
            <a:xfrm>
              <a:off x="36976050" y="2638425"/>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393E5BC-C7A0-4CD1-A99D-DF89204857FB}" type="TxLink">
                <a:rPr lang="en-US" sz="1100" b="1" i="0" u="none" strike="noStrike">
                  <a:solidFill>
                    <a:schemeClr val="bg1"/>
                  </a:solidFill>
                  <a:latin typeface="+mj-lt"/>
                  <a:cs typeface="Arial"/>
                </a:rPr>
                <a:pPr/>
                <a:t>Nov</a:t>
              </a:fld>
              <a:endParaRPr lang="en-GB" sz="1100" b="1">
                <a:solidFill>
                  <a:schemeClr val="bg1"/>
                </a:solidFill>
                <a:latin typeface="+mj-lt"/>
              </a:endParaRPr>
            </a:p>
          </xdr:txBody>
        </xdr:sp>
        <xdr:sp macro="" textlink="'Công thức'!$AK$4">
          <xdr:nvSpPr>
            <xdr:cNvPr id="61" name="TextBox 60">
              <a:extLst>
                <a:ext uri="{FF2B5EF4-FFF2-40B4-BE49-F238E27FC236}">
                  <a16:creationId xmlns:a16="http://schemas.microsoft.com/office/drawing/2014/main" id="{69FD65E7-8ABD-D107-281E-7087DCC42775}"/>
                </a:ext>
              </a:extLst>
            </xdr:cNvPr>
            <xdr:cNvSpPr txBox="1"/>
          </xdr:nvSpPr>
          <xdr:spPr>
            <a:xfrm>
              <a:off x="37242750" y="3124200"/>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F7CC408-8B37-463F-9B7C-E8B6351CFD9E}" type="TxLink">
                <a:rPr lang="en-US" sz="1100" b="1" i="0" u="none" strike="noStrike">
                  <a:solidFill>
                    <a:schemeClr val="bg1"/>
                  </a:solidFill>
                  <a:latin typeface="+mj-lt"/>
                  <a:cs typeface="Arial"/>
                </a:rPr>
                <a:pPr/>
                <a:t>Oct</a:t>
              </a:fld>
              <a:endParaRPr lang="en-GB" sz="1100" b="1">
                <a:solidFill>
                  <a:schemeClr val="bg1"/>
                </a:solidFill>
                <a:latin typeface="+mj-lt"/>
              </a:endParaRPr>
            </a:p>
          </xdr:txBody>
        </xdr:sp>
        <xdr:sp macro="" textlink="'Công thức'!$AK$5">
          <xdr:nvSpPr>
            <xdr:cNvPr id="62" name="TextBox 61">
              <a:extLst>
                <a:ext uri="{FF2B5EF4-FFF2-40B4-BE49-F238E27FC236}">
                  <a16:creationId xmlns:a16="http://schemas.microsoft.com/office/drawing/2014/main" id="{69CF0182-E5CE-6434-D297-CFE832092D93}"/>
                </a:ext>
              </a:extLst>
            </xdr:cNvPr>
            <xdr:cNvSpPr txBox="1"/>
          </xdr:nvSpPr>
          <xdr:spPr>
            <a:xfrm>
              <a:off x="36976050" y="3638550"/>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EE5566A-7506-4C8A-A0DC-9E83091008C8}" type="TxLink">
                <a:rPr lang="en-US" sz="1100" b="1" i="0" u="none" strike="noStrike">
                  <a:solidFill>
                    <a:schemeClr val="bg1"/>
                  </a:solidFill>
                  <a:latin typeface="+mj-lt"/>
                  <a:cs typeface="Arial"/>
                </a:rPr>
                <a:pPr/>
                <a:t>Nov</a:t>
              </a:fld>
              <a:endParaRPr lang="en-GB" sz="1100" b="1">
                <a:solidFill>
                  <a:schemeClr val="bg1"/>
                </a:solidFill>
                <a:latin typeface="+mj-lt"/>
              </a:endParaRPr>
            </a:p>
          </xdr:txBody>
        </xdr:sp>
        <xdr:sp macro="" textlink="'Công thức'!$AK$6">
          <xdr:nvSpPr>
            <xdr:cNvPr id="63" name="TextBox 62">
              <a:extLst>
                <a:ext uri="{FF2B5EF4-FFF2-40B4-BE49-F238E27FC236}">
                  <a16:creationId xmlns:a16="http://schemas.microsoft.com/office/drawing/2014/main" id="{64B1A751-96F0-A2F0-BB85-16759B0D7A9D}"/>
                </a:ext>
              </a:extLst>
            </xdr:cNvPr>
            <xdr:cNvSpPr txBox="1"/>
          </xdr:nvSpPr>
          <xdr:spPr>
            <a:xfrm>
              <a:off x="37450813" y="4143375"/>
              <a:ext cx="1952624"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76AFF8C-29F4-4E43-B36F-540DD372D70E}" type="TxLink">
                <a:rPr lang="en-US" sz="1100" b="1" i="0" u="none" strike="noStrike">
                  <a:solidFill>
                    <a:schemeClr val="bg1"/>
                  </a:solidFill>
                  <a:latin typeface="+mj-lt"/>
                  <a:cs typeface="Arial"/>
                </a:rPr>
                <a:pPr/>
                <a:t>Mar</a:t>
              </a:fld>
              <a:endParaRPr lang="en-GB" sz="1100" b="1">
                <a:solidFill>
                  <a:schemeClr val="bg1"/>
                </a:solidFill>
                <a:latin typeface="+mj-lt"/>
              </a:endParaRPr>
            </a:p>
          </xdr:txBody>
        </xdr:sp>
        <xdr:sp macro="" textlink="'Công thức'!$AK$7">
          <xdr:nvSpPr>
            <xdr:cNvPr id="64" name="TextBox 63">
              <a:extLst>
                <a:ext uri="{FF2B5EF4-FFF2-40B4-BE49-F238E27FC236}">
                  <a16:creationId xmlns:a16="http://schemas.microsoft.com/office/drawing/2014/main" id="{2AC4CEBA-BF85-6A79-E51D-E7C4C8213292}"/>
                </a:ext>
              </a:extLst>
            </xdr:cNvPr>
            <xdr:cNvSpPr txBox="1"/>
          </xdr:nvSpPr>
          <xdr:spPr>
            <a:xfrm>
              <a:off x="36976050" y="4657725"/>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296251D-D6DC-485C-857B-B8CE4769546C}" type="TxLink">
                <a:rPr lang="en-US" sz="1100" b="1" i="0" u="none" strike="noStrike">
                  <a:solidFill>
                    <a:schemeClr val="bg1"/>
                  </a:solidFill>
                  <a:latin typeface="+mj-lt"/>
                  <a:cs typeface="Arial"/>
                </a:rPr>
                <a:pPr/>
                <a:t>May</a:t>
              </a:fld>
              <a:endParaRPr lang="en-GB" sz="1100" b="1">
                <a:solidFill>
                  <a:schemeClr val="bg1"/>
                </a:solidFill>
                <a:latin typeface="+mj-lt"/>
              </a:endParaRPr>
            </a:p>
          </xdr:txBody>
        </xdr:sp>
      </xdr:grpSp>
      <xdr:grpSp>
        <xdr:nvGrpSpPr>
          <xdr:cNvPr id="42" name="Group 41">
            <a:extLst>
              <a:ext uri="{FF2B5EF4-FFF2-40B4-BE49-F238E27FC236}">
                <a16:creationId xmlns:a16="http://schemas.microsoft.com/office/drawing/2014/main" id="{14875F72-6FC5-6667-2B8B-695F26938E63}"/>
              </a:ext>
            </a:extLst>
          </xdr:cNvPr>
          <xdr:cNvGrpSpPr/>
        </xdr:nvGrpSpPr>
        <xdr:grpSpPr>
          <a:xfrm>
            <a:off x="37071301" y="2876550"/>
            <a:ext cx="857250" cy="2238376"/>
            <a:chOff x="36976050" y="2847975"/>
            <a:chExt cx="2219325" cy="2238376"/>
          </a:xfrm>
        </xdr:grpSpPr>
        <xdr:sp macro="" textlink="$AK$3">
          <xdr:nvSpPr>
            <xdr:cNvPr id="55" name="TextBox 54">
              <a:extLst>
                <a:ext uri="{FF2B5EF4-FFF2-40B4-BE49-F238E27FC236}">
                  <a16:creationId xmlns:a16="http://schemas.microsoft.com/office/drawing/2014/main" id="{E543B83C-06E4-413F-848F-86AD99A6C0C6}"/>
                </a:ext>
              </a:extLst>
            </xdr:cNvPr>
            <xdr:cNvSpPr txBox="1"/>
          </xdr:nvSpPr>
          <xdr:spPr>
            <a:xfrm>
              <a:off x="36976050" y="2847975"/>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b="0">
                  <a:solidFill>
                    <a:schemeClr val="bg1"/>
                  </a:solidFill>
                </a:rPr>
                <a:t>Tiết</a:t>
              </a:r>
              <a:r>
                <a:rPr lang="en-GB" sz="1100" b="0" baseline="0">
                  <a:solidFill>
                    <a:schemeClr val="bg1"/>
                  </a:solidFill>
                </a:rPr>
                <a:t> kiệm:</a:t>
              </a:r>
              <a:endParaRPr lang="en-GB" sz="1100" b="0">
                <a:solidFill>
                  <a:schemeClr val="bg1"/>
                </a:solidFill>
              </a:endParaRPr>
            </a:p>
          </xdr:txBody>
        </xdr:sp>
        <xdr:sp macro="" textlink="$AK$4">
          <xdr:nvSpPr>
            <xdr:cNvPr id="56" name="TextBox 55">
              <a:extLst>
                <a:ext uri="{FF2B5EF4-FFF2-40B4-BE49-F238E27FC236}">
                  <a16:creationId xmlns:a16="http://schemas.microsoft.com/office/drawing/2014/main" id="{00C0055B-35B0-C989-00A7-FD1679CE1DA1}"/>
                </a:ext>
              </a:extLst>
            </xdr:cNvPr>
            <xdr:cNvSpPr txBox="1"/>
          </xdr:nvSpPr>
          <xdr:spPr>
            <a:xfrm>
              <a:off x="37242750" y="3333750"/>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b="0">
                  <a:solidFill>
                    <a:schemeClr val="bg1"/>
                  </a:solidFill>
                  <a:effectLst/>
                  <a:latin typeface="+mn-lt"/>
                  <a:ea typeface="+mn-ea"/>
                  <a:cs typeface="+mn-cs"/>
                </a:rPr>
                <a:t>Tiết</a:t>
              </a:r>
              <a:r>
                <a:rPr lang="en-GB" sz="1100" b="0" baseline="0">
                  <a:solidFill>
                    <a:schemeClr val="bg1"/>
                  </a:solidFill>
                  <a:effectLst/>
                  <a:latin typeface="+mn-lt"/>
                  <a:ea typeface="+mn-ea"/>
                  <a:cs typeface="+mn-cs"/>
                </a:rPr>
                <a:t> kiệm:</a:t>
              </a:r>
              <a:endParaRPr lang="en-GB">
                <a:solidFill>
                  <a:schemeClr val="bg1"/>
                </a:solidFill>
                <a:effectLst/>
              </a:endParaRPr>
            </a:p>
          </xdr:txBody>
        </xdr:sp>
        <xdr:sp macro="" textlink="$AK$5">
          <xdr:nvSpPr>
            <xdr:cNvPr id="57" name="TextBox 56">
              <a:extLst>
                <a:ext uri="{FF2B5EF4-FFF2-40B4-BE49-F238E27FC236}">
                  <a16:creationId xmlns:a16="http://schemas.microsoft.com/office/drawing/2014/main" id="{F68E0168-65FE-E00C-C80B-DA6407A7F8FD}"/>
                </a:ext>
              </a:extLst>
            </xdr:cNvPr>
            <xdr:cNvSpPr txBox="1"/>
          </xdr:nvSpPr>
          <xdr:spPr>
            <a:xfrm>
              <a:off x="36976050" y="3848100"/>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b="0">
                  <a:solidFill>
                    <a:schemeClr val="bg1"/>
                  </a:solidFill>
                  <a:effectLst/>
                  <a:latin typeface="+mn-lt"/>
                  <a:ea typeface="+mn-ea"/>
                  <a:cs typeface="+mn-cs"/>
                </a:rPr>
                <a:t>Tiết</a:t>
              </a:r>
              <a:r>
                <a:rPr lang="en-GB" sz="1100" b="0" baseline="0">
                  <a:solidFill>
                    <a:schemeClr val="bg1"/>
                  </a:solidFill>
                  <a:effectLst/>
                  <a:latin typeface="+mn-lt"/>
                  <a:ea typeface="+mn-ea"/>
                  <a:cs typeface="+mn-cs"/>
                </a:rPr>
                <a:t> kiệm:</a:t>
              </a:r>
              <a:endParaRPr lang="en-GB">
                <a:solidFill>
                  <a:schemeClr val="bg1"/>
                </a:solidFill>
                <a:effectLst/>
              </a:endParaRPr>
            </a:p>
          </xdr:txBody>
        </xdr:sp>
        <xdr:sp macro="" textlink="$AK$6">
          <xdr:nvSpPr>
            <xdr:cNvPr id="58" name="TextBox 57">
              <a:extLst>
                <a:ext uri="{FF2B5EF4-FFF2-40B4-BE49-F238E27FC236}">
                  <a16:creationId xmlns:a16="http://schemas.microsoft.com/office/drawing/2014/main" id="{4F0DA440-6C2D-5A83-F7C1-E42DDF84F14D}"/>
                </a:ext>
              </a:extLst>
            </xdr:cNvPr>
            <xdr:cNvSpPr txBox="1"/>
          </xdr:nvSpPr>
          <xdr:spPr>
            <a:xfrm>
              <a:off x="37242750" y="4352925"/>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b="0">
                  <a:solidFill>
                    <a:schemeClr val="bg1"/>
                  </a:solidFill>
                  <a:effectLst/>
                  <a:latin typeface="+mn-lt"/>
                  <a:ea typeface="+mn-ea"/>
                  <a:cs typeface="+mn-cs"/>
                </a:rPr>
                <a:t>Tiết</a:t>
              </a:r>
              <a:r>
                <a:rPr lang="en-GB" sz="1100" b="0" baseline="0">
                  <a:solidFill>
                    <a:schemeClr val="bg1"/>
                  </a:solidFill>
                  <a:effectLst/>
                  <a:latin typeface="+mn-lt"/>
                  <a:ea typeface="+mn-ea"/>
                  <a:cs typeface="+mn-cs"/>
                </a:rPr>
                <a:t> kiệm:</a:t>
              </a:r>
              <a:endParaRPr lang="en-GB">
                <a:solidFill>
                  <a:schemeClr val="bg1"/>
                </a:solidFill>
                <a:effectLst/>
              </a:endParaRPr>
            </a:p>
          </xdr:txBody>
        </xdr:sp>
        <xdr:sp macro="" textlink="$AK$7">
          <xdr:nvSpPr>
            <xdr:cNvPr id="59" name="TextBox 58">
              <a:extLst>
                <a:ext uri="{FF2B5EF4-FFF2-40B4-BE49-F238E27FC236}">
                  <a16:creationId xmlns:a16="http://schemas.microsoft.com/office/drawing/2014/main" id="{EA41A790-E2F2-8FB9-C6AD-14DC3273F543}"/>
                </a:ext>
              </a:extLst>
            </xdr:cNvPr>
            <xdr:cNvSpPr txBox="1"/>
          </xdr:nvSpPr>
          <xdr:spPr>
            <a:xfrm>
              <a:off x="36976050" y="4867275"/>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100" b="0">
                  <a:solidFill>
                    <a:schemeClr val="bg1"/>
                  </a:solidFill>
                  <a:effectLst/>
                  <a:latin typeface="+mn-lt"/>
                  <a:ea typeface="+mn-ea"/>
                  <a:cs typeface="+mn-cs"/>
                </a:rPr>
                <a:t>Tiết</a:t>
              </a:r>
              <a:r>
                <a:rPr lang="en-GB" sz="1100" b="0" baseline="0">
                  <a:solidFill>
                    <a:schemeClr val="bg1"/>
                  </a:solidFill>
                  <a:effectLst/>
                  <a:latin typeface="+mn-lt"/>
                  <a:ea typeface="+mn-ea"/>
                  <a:cs typeface="+mn-cs"/>
                </a:rPr>
                <a:t> kiệm:</a:t>
              </a:r>
              <a:endParaRPr lang="en-GB">
                <a:solidFill>
                  <a:schemeClr val="bg1"/>
                </a:solidFill>
                <a:effectLst/>
              </a:endParaRPr>
            </a:p>
          </xdr:txBody>
        </xdr:sp>
      </xdr:grpSp>
      <xdr:grpSp>
        <xdr:nvGrpSpPr>
          <xdr:cNvPr id="43" name="Group 42">
            <a:extLst>
              <a:ext uri="{FF2B5EF4-FFF2-40B4-BE49-F238E27FC236}">
                <a16:creationId xmlns:a16="http://schemas.microsoft.com/office/drawing/2014/main" id="{3F6DD27A-DA19-C5B5-F32E-B316B95DFB08}"/>
              </a:ext>
            </a:extLst>
          </xdr:cNvPr>
          <xdr:cNvGrpSpPr/>
        </xdr:nvGrpSpPr>
        <xdr:grpSpPr>
          <a:xfrm>
            <a:off x="37680903" y="2876550"/>
            <a:ext cx="1133475" cy="2238376"/>
            <a:chOff x="36976050" y="2638425"/>
            <a:chExt cx="2096029" cy="2238376"/>
          </a:xfrm>
        </xdr:grpSpPr>
        <xdr:sp macro="" textlink="'Công thức'!$AN$3">
          <xdr:nvSpPr>
            <xdr:cNvPr id="50" name="TextBox 49">
              <a:extLst>
                <a:ext uri="{FF2B5EF4-FFF2-40B4-BE49-F238E27FC236}">
                  <a16:creationId xmlns:a16="http://schemas.microsoft.com/office/drawing/2014/main" id="{6A942A4B-A300-238E-1ABD-06DE0D0C87D4}"/>
                </a:ext>
              </a:extLst>
            </xdr:cNvPr>
            <xdr:cNvSpPr txBox="1"/>
          </xdr:nvSpPr>
          <xdr:spPr>
            <a:xfrm>
              <a:off x="36976050" y="2638425"/>
              <a:ext cx="1952624"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4CB253C-E729-474B-B37F-33DC87062378}" type="TxLink">
                <a:rPr lang="en-US" sz="1100" b="1" i="0" u="none" strike="noStrike">
                  <a:solidFill>
                    <a:schemeClr val="bg1"/>
                  </a:solidFill>
                  <a:latin typeface="+mj-lt"/>
                  <a:cs typeface="Arial"/>
                </a:rPr>
                <a:pPr/>
                <a:t>785,000  đ</a:t>
              </a:fld>
              <a:endParaRPr lang="en-GB" sz="1100" b="1">
                <a:solidFill>
                  <a:schemeClr val="bg1"/>
                </a:solidFill>
                <a:latin typeface="+mj-lt"/>
              </a:endParaRPr>
            </a:p>
          </xdr:txBody>
        </xdr:sp>
        <xdr:sp macro="" textlink="'Công thức'!$AN$4">
          <xdr:nvSpPr>
            <xdr:cNvPr id="51" name="TextBox 50">
              <a:extLst>
                <a:ext uri="{FF2B5EF4-FFF2-40B4-BE49-F238E27FC236}">
                  <a16:creationId xmlns:a16="http://schemas.microsoft.com/office/drawing/2014/main" id="{922116C7-3411-08FC-8C3C-F817AA37EAD1}"/>
                </a:ext>
              </a:extLst>
            </xdr:cNvPr>
            <xdr:cNvSpPr txBox="1"/>
          </xdr:nvSpPr>
          <xdr:spPr>
            <a:xfrm>
              <a:off x="37119454" y="3124200"/>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8E3CCB9-5A32-4798-9EEF-20EEB53B6315}" type="TxLink">
                <a:rPr lang="en-US" sz="1100" b="1" i="0" u="none" strike="noStrike">
                  <a:solidFill>
                    <a:schemeClr val="bg1"/>
                  </a:solidFill>
                  <a:latin typeface="+mj-lt"/>
                  <a:cs typeface="Arial"/>
                </a:rPr>
                <a:pPr/>
                <a:t>600,000  đ</a:t>
              </a:fld>
              <a:endParaRPr lang="en-GB" sz="1100" b="1">
                <a:solidFill>
                  <a:schemeClr val="bg1"/>
                </a:solidFill>
                <a:latin typeface="+mj-lt"/>
              </a:endParaRPr>
            </a:p>
          </xdr:txBody>
        </xdr:sp>
        <xdr:sp macro="" textlink="'Công thức'!$AN$5">
          <xdr:nvSpPr>
            <xdr:cNvPr id="52" name="TextBox 51">
              <a:extLst>
                <a:ext uri="{FF2B5EF4-FFF2-40B4-BE49-F238E27FC236}">
                  <a16:creationId xmlns:a16="http://schemas.microsoft.com/office/drawing/2014/main" id="{91D75C44-678F-AAEA-E155-52233C1956B9}"/>
                </a:ext>
              </a:extLst>
            </xdr:cNvPr>
            <xdr:cNvSpPr txBox="1"/>
          </xdr:nvSpPr>
          <xdr:spPr>
            <a:xfrm>
              <a:off x="36976050" y="3638550"/>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08AD4E20-ABB0-4088-A358-1C333742E3EB}" type="TxLink">
                <a:rPr lang="en-US" sz="1100" b="1" i="0" u="none" strike="noStrike">
                  <a:solidFill>
                    <a:schemeClr val="bg1"/>
                  </a:solidFill>
                  <a:latin typeface="+mj-lt"/>
                  <a:cs typeface="Arial"/>
                </a:rPr>
                <a:pPr/>
                <a:t>600,000  đ</a:t>
              </a:fld>
              <a:endParaRPr lang="en-GB" sz="1100" b="1">
                <a:solidFill>
                  <a:schemeClr val="bg1"/>
                </a:solidFill>
                <a:latin typeface="+mj-lt"/>
              </a:endParaRPr>
            </a:p>
          </xdr:txBody>
        </xdr:sp>
        <xdr:sp macro="" textlink="'Công thức'!$AN$6">
          <xdr:nvSpPr>
            <xdr:cNvPr id="53" name="TextBox 52">
              <a:extLst>
                <a:ext uri="{FF2B5EF4-FFF2-40B4-BE49-F238E27FC236}">
                  <a16:creationId xmlns:a16="http://schemas.microsoft.com/office/drawing/2014/main" id="{10769F58-A220-5763-F29B-144F146DF3EE}"/>
                </a:ext>
              </a:extLst>
            </xdr:cNvPr>
            <xdr:cNvSpPr txBox="1"/>
          </xdr:nvSpPr>
          <xdr:spPr>
            <a:xfrm>
              <a:off x="37119454" y="4143375"/>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A5B6BCB-D7ED-4E8C-9564-243A3DC85454}" type="TxLink">
                <a:rPr lang="en-US" sz="1100" b="1" i="0" u="none" strike="noStrike">
                  <a:solidFill>
                    <a:schemeClr val="bg1"/>
                  </a:solidFill>
                  <a:latin typeface="+mj-lt"/>
                  <a:cs typeface="Arial"/>
                </a:rPr>
                <a:pPr/>
                <a:t>255,000  đ</a:t>
              </a:fld>
              <a:endParaRPr lang="en-GB" sz="1100" b="1">
                <a:solidFill>
                  <a:schemeClr val="bg1"/>
                </a:solidFill>
                <a:latin typeface="+mj-lt"/>
              </a:endParaRPr>
            </a:p>
          </xdr:txBody>
        </xdr:sp>
        <xdr:sp macro="" textlink="'Công thức'!$AN$7">
          <xdr:nvSpPr>
            <xdr:cNvPr id="54" name="TextBox 53">
              <a:extLst>
                <a:ext uri="{FF2B5EF4-FFF2-40B4-BE49-F238E27FC236}">
                  <a16:creationId xmlns:a16="http://schemas.microsoft.com/office/drawing/2014/main" id="{554742EF-F583-1847-12C7-4DBA41C17563}"/>
                </a:ext>
              </a:extLst>
            </xdr:cNvPr>
            <xdr:cNvSpPr txBox="1"/>
          </xdr:nvSpPr>
          <xdr:spPr>
            <a:xfrm>
              <a:off x="36976050" y="4657725"/>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5744A10-B4C4-4BD9-945B-B140A7E3F776}" type="TxLink">
                <a:rPr lang="en-US" sz="1100" b="1" i="0" u="none" strike="noStrike">
                  <a:solidFill>
                    <a:schemeClr val="bg1"/>
                  </a:solidFill>
                  <a:latin typeface="+mj-lt"/>
                  <a:cs typeface="Arial"/>
                </a:rPr>
                <a:pPr/>
                <a:t>229,000  đ</a:t>
              </a:fld>
              <a:endParaRPr lang="en-GB" sz="1100" b="1">
                <a:solidFill>
                  <a:schemeClr val="bg1"/>
                </a:solidFill>
                <a:latin typeface="+mj-lt"/>
              </a:endParaRPr>
            </a:p>
          </xdr:txBody>
        </xdr:sp>
      </xdr:grpSp>
      <xdr:grpSp>
        <xdr:nvGrpSpPr>
          <xdr:cNvPr id="44" name="Group 43">
            <a:extLst>
              <a:ext uri="{FF2B5EF4-FFF2-40B4-BE49-F238E27FC236}">
                <a16:creationId xmlns:a16="http://schemas.microsoft.com/office/drawing/2014/main" id="{0743C0C4-9BB7-B603-8398-182A2BF88386}"/>
              </a:ext>
            </a:extLst>
          </xdr:cNvPr>
          <xdr:cNvGrpSpPr/>
        </xdr:nvGrpSpPr>
        <xdr:grpSpPr>
          <a:xfrm>
            <a:off x="37480875" y="2657475"/>
            <a:ext cx="1895475" cy="2238376"/>
            <a:chOff x="36976050" y="2638425"/>
            <a:chExt cx="2219325" cy="2238376"/>
          </a:xfrm>
        </xdr:grpSpPr>
        <xdr:sp macro="" textlink="'Công thức'!$AJ$3">
          <xdr:nvSpPr>
            <xdr:cNvPr id="45" name="TextBox 44">
              <a:extLst>
                <a:ext uri="{FF2B5EF4-FFF2-40B4-BE49-F238E27FC236}">
                  <a16:creationId xmlns:a16="http://schemas.microsoft.com/office/drawing/2014/main" id="{9BBDC7A8-42BA-137B-3EF7-24D8E51AE85B}"/>
                </a:ext>
              </a:extLst>
            </xdr:cNvPr>
            <xdr:cNvSpPr txBox="1"/>
          </xdr:nvSpPr>
          <xdr:spPr>
            <a:xfrm>
              <a:off x="36976050" y="2638425"/>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E7A1333-1C73-475E-B2EF-2AC8535C6E56}" type="TxLink">
                <a:rPr lang="en-US" sz="1100" b="0" i="0" u="none" strike="noStrike">
                  <a:solidFill>
                    <a:schemeClr val="bg1"/>
                  </a:solidFill>
                  <a:latin typeface="+mj-lt"/>
                  <a:cs typeface="Arial"/>
                </a:rPr>
                <a:pPr/>
                <a:t>Ăn uống</a:t>
              </a:fld>
              <a:endParaRPr lang="en-GB" sz="1100" b="0">
                <a:solidFill>
                  <a:schemeClr val="bg1"/>
                </a:solidFill>
                <a:latin typeface="+mj-lt"/>
              </a:endParaRPr>
            </a:p>
          </xdr:txBody>
        </xdr:sp>
        <xdr:sp macro="" textlink="'Công thức'!$AJ$4">
          <xdr:nvSpPr>
            <xdr:cNvPr id="46" name="TextBox 45">
              <a:extLst>
                <a:ext uri="{FF2B5EF4-FFF2-40B4-BE49-F238E27FC236}">
                  <a16:creationId xmlns:a16="http://schemas.microsoft.com/office/drawing/2014/main" id="{857EAE98-F660-4B56-B4F2-725B1B8624BB}"/>
                </a:ext>
              </a:extLst>
            </xdr:cNvPr>
            <xdr:cNvSpPr txBox="1"/>
          </xdr:nvSpPr>
          <xdr:spPr>
            <a:xfrm>
              <a:off x="37242750" y="3124200"/>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B474498-48D4-4052-B59A-24984803F508}" type="TxLink">
                <a:rPr lang="en-US" sz="1100" b="1" i="0" u="none" strike="noStrike">
                  <a:solidFill>
                    <a:schemeClr val="bg1"/>
                  </a:solidFill>
                  <a:latin typeface="+mj-lt"/>
                  <a:cs typeface="Arial"/>
                </a:rPr>
                <a:pPr/>
                <a:t>Nhà ở</a:t>
              </a:fld>
              <a:endParaRPr lang="en-GB" sz="1100" b="0">
                <a:solidFill>
                  <a:schemeClr val="bg1"/>
                </a:solidFill>
                <a:latin typeface="+mj-lt"/>
              </a:endParaRPr>
            </a:p>
          </xdr:txBody>
        </xdr:sp>
        <xdr:sp macro="" textlink="'Công thức'!$AJ$5">
          <xdr:nvSpPr>
            <xdr:cNvPr id="47" name="TextBox 46">
              <a:extLst>
                <a:ext uri="{FF2B5EF4-FFF2-40B4-BE49-F238E27FC236}">
                  <a16:creationId xmlns:a16="http://schemas.microsoft.com/office/drawing/2014/main" id="{E69E0EF1-E9D7-674C-1950-BF1BABC5804F}"/>
                </a:ext>
              </a:extLst>
            </xdr:cNvPr>
            <xdr:cNvSpPr txBox="1"/>
          </xdr:nvSpPr>
          <xdr:spPr>
            <a:xfrm>
              <a:off x="36976050" y="3638550"/>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B980D2F-0506-4AB0-9CDD-6A70A4D66243}" type="TxLink">
                <a:rPr lang="en-US" sz="1100" b="1" i="0" u="none" strike="noStrike">
                  <a:solidFill>
                    <a:schemeClr val="bg1"/>
                  </a:solidFill>
                  <a:latin typeface="+mj-lt"/>
                  <a:cs typeface="Arial"/>
                </a:rPr>
                <a:pPr/>
                <a:t>Nhà ở</a:t>
              </a:fld>
              <a:endParaRPr lang="en-GB" sz="1100" b="0">
                <a:solidFill>
                  <a:schemeClr val="bg1"/>
                </a:solidFill>
                <a:latin typeface="+mj-lt"/>
              </a:endParaRPr>
            </a:p>
          </xdr:txBody>
        </xdr:sp>
        <xdr:sp macro="" textlink="'Công thức'!$AJ$6">
          <xdr:nvSpPr>
            <xdr:cNvPr id="48" name="TextBox 47">
              <a:extLst>
                <a:ext uri="{FF2B5EF4-FFF2-40B4-BE49-F238E27FC236}">
                  <a16:creationId xmlns:a16="http://schemas.microsoft.com/office/drawing/2014/main" id="{04D83D99-07C7-F411-8D40-AE48A8B483B4}"/>
                </a:ext>
              </a:extLst>
            </xdr:cNvPr>
            <xdr:cNvSpPr txBox="1"/>
          </xdr:nvSpPr>
          <xdr:spPr>
            <a:xfrm>
              <a:off x="37242750" y="4143375"/>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95C97C1-7415-43FB-B431-AE29230883D8}" type="TxLink">
                <a:rPr lang="en-US" sz="1100" b="1" i="0" u="none" strike="noStrike">
                  <a:solidFill>
                    <a:schemeClr val="bg1"/>
                  </a:solidFill>
                  <a:latin typeface="+mj-lt"/>
                  <a:cs typeface="Arial"/>
                </a:rPr>
                <a:pPr/>
                <a:t>Giải trí</a:t>
              </a:fld>
              <a:endParaRPr lang="en-GB" sz="1100" b="0">
                <a:solidFill>
                  <a:schemeClr val="bg1"/>
                </a:solidFill>
                <a:latin typeface="+mj-lt"/>
              </a:endParaRPr>
            </a:p>
          </xdr:txBody>
        </xdr:sp>
        <xdr:sp macro="" textlink="'Công thức'!$AJ$7">
          <xdr:nvSpPr>
            <xdr:cNvPr id="49" name="TextBox 48">
              <a:extLst>
                <a:ext uri="{FF2B5EF4-FFF2-40B4-BE49-F238E27FC236}">
                  <a16:creationId xmlns:a16="http://schemas.microsoft.com/office/drawing/2014/main" id="{E7162EF6-3ABE-EDE0-A7BA-84883A18BF98}"/>
                </a:ext>
              </a:extLst>
            </xdr:cNvPr>
            <xdr:cNvSpPr txBox="1"/>
          </xdr:nvSpPr>
          <xdr:spPr>
            <a:xfrm>
              <a:off x="36976050" y="4657725"/>
              <a:ext cx="1952625"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E5774A3-76CE-4D78-83E4-982B57338745}" type="TxLink">
                <a:rPr lang="en-US" sz="1100" b="1" i="0" u="none" strike="noStrike">
                  <a:solidFill>
                    <a:schemeClr val="bg1"/>
                  </a:solidFill>
                  <a:latin typeface="+mj-lt"/>
                  <a:cs typeface="Arial"/>
                </a:rPr>
                <a:pPr/>
                <a:t>Học tập, phát triển</a:t>
              </a:fld>
              <a:endParaRPr lang="en-GB" sz="1100" b="0">
                <a:solidFill>
                  <a:schemeClr val="bg1"/>
                </a:solidFill>
                <a:latin typeface="+mj-lt"/>
              </a:endParaRP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419100</xdr:colOff>
      <xdr:row>11</xdr:row>
      <xdr:rowOff>114300</xdr:rowOff>
    </xdr:from>
    <xdr:to>
      <xdr:col>0</xdr:col>
      <xdr:colOff>1006387</xdr:colOff>
      <xdr:row>17</xdr:row>
      <xdr:rowOff>11546</xdr:rowOff>
    </xdr:to>
    <xdr:grpSp>
      <xdr:nvGrpSpPr>
        <xdr:cNvPr id="2" name="Group 1">
          <a:extLst>
            <a:ext uri="{FF2B5EF4-FFF2-40B4-BE49-F238E27FC236}">
              <a16:creationId xmlns:a16="http://schemas.microsoft.com/office/drawing/2014/main" id="{32CE689A-881A-42C2-A144-CB5641CDE515}"/>
            </a:ext>
          </a:extLst>
        </xdr:cNvPr>
        <xdr:cNvGrpSpPr/>
      </xdr:nvGrpSpPr>
      <xdr:grpSpPr>
        <a:xfrm>
          <a:off x="419100" y="4095750"/>
          <a:ext cx="591097" cy="2072756"/>
          <a:chOff x="1851113" y="1138680"/>
          <a:chExt cx="587287" cy="2068946"/>
        </a:xfrm>
      </xdr:grpSpPr>
      <xdr:sp macro="" textlink="">
        <xdr:nvSpPr>
          <xdr:cNvPr id="3" name="Rectangle 2">
            <a:extLst>
              <a:ext uri="{FF2B5EF4-FFF2-40B4-BE49-F238E27FC236}">
                <a16:creationId xmlns:a16="http://schemas.microsoft.com/office/drawing/2014/main" id="{1F86440B-C434-A1AE-917A-9DC6CA334D2A}"/>
              </a:ext>
            </a:extLst>
          </xdr:cNvPr>
          <xdr:cNvSpPr/>
        </xdr:nvSpPr>
        <xdr:spPr>
          <a:xfrm>
            <a:off x="1851113" y="1138680"/>
            <a:ext cx="587287" cy="2068946"/>
          </a:xfrm>
          <a:prstGeom prst="rect">
            <a:avLst/>
          </a:prstGeom>
          <a:solidFill>
            <a:srgbClr val="21A1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4" name="Rectangle 3">
            <a:extLst>
              <a:ext uri="{FF2B5EF4-FFF2-40B4-BE49-F238E27FC236}">
                <a16:creationId xmlns:a16="http://schemas.microsoft.com/office/drawing/2014/main" id="{789DA0C4-616A-1D02-8A95-8B1BBFEB03F0}"/>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twoCellAnchor>
    <xdr:from>
      <xdr:col>1</xdr:col>
      <xdr:colOff>128856</xdr:colOff>
      <xdr:row>11</xdr:row>
      <xdr:rowOff>114300</xdr:rowOff>
    </xdr:from>
    <xdr:to>
      <xdr:col>1</xdr:col>
      <xdr:colOff>716143</xdr:colOff>
      <xdr:row>17</xdr:row>
      <xdr:rowOff>11546</xdr:rowOff>
    </xdr:to>
    <xdr:grpSp>
      <xdr:nvGrpSpPr>
        <xdr:cNvPr id="5" name="Group 4">
          <a:extLst>
            <a:ext uri="{FF2B5EF4-FFF2-40B4-BE49-F238E27FC236}">
              <a16:creationId xmlns:a16="http://schemas.microsoft.com/office/drawing/2014/main" id="{7F1CE4D3-4B8F-4EC8-A5CC-FAA9F5313398}"/>
            </a:ext>
          </a:extLst>
        </xdr:cNvPr>
        <xdr:cNvGrpSpPr/>
      </xdr:nvGrpSpPr>
      <xdr:grpSpPr>
        <a:xfrm>
          <a:off x="1266141" y="4095750"/>
          <a:ext cx="581572" cy="2072756"/>
          <a:chOff x="1851113" y="1138680"/>
          <a:chExt cx="587287" cy="2068946"/>
        </a:xfrm>
      </xdr:grpSpPr>
      <xdr:sp macro="" textlink="">
        <xdr:nvSpPr>
          <xdr:cNvPr id="6" name="Rectangle 5">
            <a:extLst>
              <a:ext uri="{FF2B5EF4-FFF2-40B4-BE49-F238E27FC236}">
                <a16:creationId xmlns:a16="http://schemas.microsoft.com/office/drawing/2014/main" id="{47254091-A955-F19F-D131-29564A0E8DF0}"/>
              </a:ext>
            </a:extLst>
          </xdr:cNvPr>
          <xdr:cNvSpPr/>
        </xdr:nvSpPr>
        <xdr:spPr>
          <a:xfrm>
            <a:off x="1851113" y="1138680"/>
            <a:ext cx="587287" cy="2068946"/>
          </a:xfrm>
          <a:prstGeom prst="rect">
            <a:avLst/>
          </a:prstGeom>
          <a:solidFill>
            <a:srgbClr val="2FC0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7" name="Rectangle 6">
            <a:extLst>
              <a:ext uri="{FF2B5EF4-FFF2-40B4-BE49-F238E27FC236}">
                <a16:creationId xmlns:a16="http://schemas.microsoft.com/office/drawing/2014/main" id="{9A956EEA-FE65-BF59-5956-7B92C653DD9A}"/>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twoCellAnchor>
    <xdr:from>
      <xdr:col>1</xdr:col>
      <xdr:colOff>972087</xdr:colOff>
      <xdr:row>11</xdr:row>
      <xdr:rowOff>114300</xdr:rowOff>
    </xdr:from>
    <xdr:to>
      <xdr:col>2</xdr:col>
      <xdr:colOff>425899</xdr:colOff>
      <xdr:row>17</xdr:row>
      <xdr:rowOff>11546</xdr:rowOff>
    </xdr:to>
    <xdr:grpSp>
      <xdr:nvGrpSpPr>
        <xdr:cNvPr id="8" name="Group 7">
          <a:extLst>
            <a:ext uri="{FF2B5EF4-FFF2-40B4-BE49-F238E27FC236}">
              <a16:creationId xmlns:a16="http://schemas.microsoft.com/office/drawing/2014/main" id="{31F51FA6-7281-4526-96FA-8C0C7B052F7C}"/>
            </a:ext>
          </a:extLst>
        </xdr:cNvPr>
        <xdr:cNvGrpSpPr/>
      </xdr:nvGrpSpPr>
      <xdr:grpSpPr>
        <a:xfrm>
          <a:off x="2101752" y="4095750"/>
          <a:ext cx="593002" cy="2072756"/>
          <a:chOff x="1851113" y="1138680"/>
          <a:chExt cx="587287" cy="2068946"/>
        </a:xfrm>
      </xdr:grpSpPr>
      <xdr:sp macro="" textlink="">
        <xdr:nvSpPr>
          <xdr:cNvPr id="9" name="Rectangle 8">
            <a:extLst>
              <a:ext uri="{FF2B5EF4-FFF2-40B4-BE49-F238E27FC236}">
                <a16:creationId xmlns:a16="http://schemas.microsoft.com/office/drawing/2014/main" id="{31A6069F-FCF9-7C7E-C6E8-B603B362DEC4}"/>
              </a:ext>
            </a:extLst>
          </xdr:cNvPr>
          <xdr:cNvSpPr/>
        </xdr:nvSpPr>
        <xdr:spPr>
          <a:xfrm>
            <a:off x="1851113" y="1138680"/>
            <a:ext cx="587287" cy="2068946"/>
          </a:xfrm>
          <a:prstGeom prst="rect">
            <a:avLst/>
          </a:prstGeom>
          <a:solidFill>
            <a:srgbClr val="62E9E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10" name="Rectangle 9">
            <a:extLst>
              <a:ext uri="{FF2B5EF4-FFF2-40B4-BE49-F238E27FC236}">
                <a16:creationId xmlns:a16="http://schemas.microsoft.com/office/drawing/2014/main" id="{0F347A1A-F1EC-AAEE-C89C-DC53060B332E}"/>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twoCellAnchor>
    <xdr:from>
      <xdr:col>2</xdr:col>
      <xdr:colOff>681843</xdr:colOff>
      <xdr:row>11</xdr:row>
      <xdr:rowOff>114300</xdr:rowOff>
    </xdr:from>
    <xdr:to>
      <xdr:col>3</xdr:col>
      <xdr:colOff>135655</xdr:colOff>
      <xdr:row>17</xdr:row>
      <xdr:rowOff>11546</xdr:rowOff>
    </xdr:to>
    <xdr:grpSp>
      <xdr:nvGrpSpPr>
        <xdr:cNvPr id="11" name="Group 10">
          <a:extLst>
            <a:ext uri="{FF2B5EF4-FFF2-40B4-BE49-F238E27FC236}">
              <a16:creationId xmlns:a16="http://schemas.microsoft.com/office/drawing/2014/main" id="{06A07C8C-0DAE-47FA-BBAD-94BD415D5BC4}"/>
            </a:ext>
          </a:extLst>
        </xdr:cNvPr>
        <xdr:cNvGrpSpPr/>
      </xdr:nvGrpSpPr>
      <xdr:grpSpPr>
        <a:xfrm>
          <a:off x="2946888" y="4095750"/>
          <a:ext cx="585382" cy="2072756"/>
          <a:chOff x="1851113" y="1138680"/>
          <a:chExt cx="587287" cy="2068946"/>
        </a:xfrm>
      </xdr:grpSpPr>
      <xdr:sp macro="" textlink="">
        <xdr:nvSpPr>
          <xdr:cNvPr id="12" name="Rectangle 11">
            <a:extLst>
              <a:ext uri="{FF2B5EF4-FFF2-40B4-BE49-F238E27FC236}">
                <a16:creationId xmlns:a16="http://schemas.microsoft.com/office/drawing/2014/main" id="{2C6C5044-1090-8F30-F9C4-867379BA1EB3}"/>
              </a:ext>
            </a:extLst>
          </xdr:cNvPr>
          <xdr:cNvSpPr/>
        </xdr:nvSpPr>
        <xdr:spPr>
          <a:xfrm>
            <a:off x="1851113" y="1138680"/>
            <a:ext cx="587287" cy="2068946"/>
          </a:xfrm>
          <a:prstGeom prst="rect">
            <a:avLst/>
          </a:prstGeom>
          <a:solidFill>
            <a:srgbClr val="F4D0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13" name="Rectangle 12">
            <a:extLst>
              <a:ext uri="{FF2B5EF4-FFF2-40B4-BE49-F238E27FC236}">
                <a16:creationId xmlns:a16="http://schemas.microsoft.com/office/drawing/2014/main" id="{FF7852FC-362B-8121-E6D3-0017D5BB777E}"/>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twoCellAnchor>
    <xdr:from>
      <xdr:col>3</xdr:col>
      <xdr:colOff>391599</xdr:colOff>
      <xdr:row>11</xdr:row>
      <xdr:rowOff>114300</xdr:rowOff>
    </xdr:from>
    <xdr:to>
      <xdr:col>3</xdr:col>
      <xdr:colOff>978886</xdr:colOff>
      <xdr:row>17</xdr:row>
      <xdr:rowOff>11546</xdr:rowOff>
    </xdr:to>
    <xdr:grpSp>
      <xdr:nvGrpSpPr>
        <xdr:cNvPr id="14" name="Group 13">
          <a:extLst>
            <a:ext uri="{FF2B5EF4-FFF2-40B4-BE49-F238E27FC236}">
              <a16:creationId xmlns:a16="http://schemas.microsoft.com/office/drawing/2014/main" id="{F403F6FB-B450-4FE4-8BCC-A3F6BFFFA299}"/>
            </a:ext>
          </a:extLst>
        </xdr:cNvPr>
        <xdr:cNvGrpSpPr/>
      </xdr:nvGrpSpPr>
      <xdr:grpSpPr>
        <a:xfrm>
          <a:off x="3793929" y="4095750"/>
          <a:ext cx="581572" cy="2072756"/>
          <a:chOff x="1851113" y="1138680"/>
          <a:chExt cx="587287" cy="2068946"/>
        </a:xfrm>
      </xdr:grpSpPr>
      <xdr:sp macro="" textlink="">
        <xdr:nvSpPr>
          <xdr:cNvPr id="15" name="Rectangle 14">
            <a:extLst>
              <a:ext uri="{FF2B5EF4-FFF2-40B4-BE49-F238E27FC236}">
                <a16:creationId xmlns:a16="http://schemas.microsoft.com/office/drawing/2014/main" id="{B83F130B-CC8B-524D-E824-C8BA9A82D436}"/>
              </a:ext>
            </a:extLst>
          </xdr:cNvPr>
          <xdr:cNvSpPr/>
        </xdr:nvSpPr>
        <xdr:spPr>
          <a:xfrm>
            <a:off x="1851113" y="1138680"/>
            <a:ext cx="587287" cy="2068946"/>
          </a:xfrm>
          <a:prstGeom prst="rect">
            <a:avLst/>
          </a:prstGeom>
          <a:solidFill>
            <a:srgbClr val="F8B5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16" name="Rectangle 15">
            <a:extLst>
              <a:ext uri="{FF2B5EF4-FFF2-40B4-BE49-F238E27FC236}">
                <a16:creationId xmlns:a16="http://schemas.microsoft.com/office/drawing/2014/main" id="{F4794368-3789-72B1-6C4C-EB1E7D39D357}"/>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twoCellAnchor>
    <xdr:from>
      <xdr:col>4</xdr:col>
      <xdr:colOff>101355</xdr:colOff>
      <xdr:row>11</xdr:row>
      <xdr:rowOff>114300</xdr:rowOff>
    </xdr:from>
    <xdr:to>
      <xdr:col>4</xdr:col>
      <xdr:colOff>688642</xdr:colOff>
      <xdr:row>17</xdr:row>
      <xdr:rowOff>11546</xdr:rowOff>
    </xdr:to>
    <xdr:grpSp>
      <xdr:nvGrpSpPr>
        <xdr:cNvPr id="17" name="Group 16">
          <a:extLst>
            <a:ext uri="{FF2B5EF4-FFF2-40B4-BE49-F238E27FC236}">
              <a16:creationId xmlns:a16="http://schemas.microsoft.com/office/drawing/2014/main" id="{3A9D2DE9-5ECA-4858-AB14-AA2991D6FB30}"/>
            </a:ext>
          </a:extLst>
        </xdr:cNvPr>
        <xdr:cNvGrpSpPr/>
      </xdr:nvGrpSpPr>
      <xdr:grpSpPr>
        <a:xfrm>
          <a:off x="4631445" y="4095750"/>
          <a:ext cx="591097" cy="2072756"/>
          <a:chOff x="1851113" y="1138680"/>
          <a:chExt cx="587287" cy="2068946"/>
        </a:xfrm>
      </xdr:grpSpPr>
      <xdr:sp macro="" textlink="">
        <xdr:nvSpPr>
          <xdr:cNvPr id="18" name="Rectangle 17">
            <a:extLst>
              <a:ext uri="{FF2B5EF4-FFF2-40B4-BE49-F238E27FC236}">
                <a16:creationId xmlns:a16="http://schemas.microsoft.com/office/drawing/2014/main" id="{C79C8459-95B5-00B2-D9C6-3C256D524A29}"/>
              </a:ext>
            </a:extLst>
          </xdr:cNvPr>
          <xdr:cNvSpPr/>
        </xdr:nvSpPr>
        <xdr:spPr>
          <a:xfrm>
            <a:off x="1851113" y="1138680"/>
            <a:ext cx="587287" cy="2068946"/>
          </a:xfrm>
          <a:prstGeom prst="rect">
            <a:avLst/>
          </a:prstGeom>
          <a:solidFill>
            <a:srgbClr val="EE5A1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19" name="Rectangle 18">
            <a:extLst>
              <a:ext uri="{FF2B5EF4-FFF2-40B4-BE49-F238E27FC236}">
                <a16:creationId xmlns:a16="http://schemas.microsoft.com/office/drawing/2014/main" id="{03ECFA75-FEE7-C7BE-3C0E-EABD63C5CDB6}"/>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twoCellAnchor>
    <xdr:from>
      <xdr:col>4</xdr:col>
      <xdr:colOff>944586</xdr:colOff>
      <xdr:row>11</xdr:row>
      <xdr:rowOff>114300</xdr:rowOff>
    </xdr:from>
    <xdr:to>
      <xdr:col>5</xdr:col>
      <xdr:colOff>398398</xdr:colOff>
      <xdr:row>17</xdr:row>
      <xdr:rowOff>11546</xdr:rowOff>
    </xdr:to>
    <xdr:grpSp>
      <xdr:nvGrpSpPr>
        <xdr:cNvPr id="20" name="Group 19">
          <a:extLst>
            <a:ext uri="{FF2B5EF4-FFF2-40B4-BE49-F238E27FC236}">
              <a16:creationId xmlns:a16="http://schemas.microsoft.com/office/drawing/2014/main" id="{0359CD32-7B45-4156-98DF-44048C943AEC}"/>
            </a:ext>
          </a:extLst>
        </xdr:cNvPr>
        <xdr:cNvGrpSpPr/>
      </xdr:nvGrpSpPr>
      <xdr:grpSpPr>
        <a:xfrm>
          <a:off x="5476581" y="4095750"/>
          <a:ext cx="593002" cy="2072756"/>
          <a:chOff x="1851113" y="1138680"/>
          <a:chExt cx="587287" cy="2068946"/>
        </a:xfrm>
      </xdr:grpSpPr>
      <xdr:sp macro="" textlink="">
        <xdr:nvSpPr>
          <xdr:cNvPr id="21" name="Rectangle 20">
            <a:extLst>
              <a:ext uri="{FF2B5EF4-FFF2-40B4-BE49-F238E27FC236}">
                <a16:creationId xmlns:a16="http://schemas.microsoft.com/office/drawing/2014/main" id="{0304A24E-382F-2B51-6CD3-0970579B6CE5}"/>
              </a:ext>
            </a:extLst>
          </xdr:cNvPr>
          <xdr:cNvSpPr/>
        </xdr:nvSpPr>
        <xdr:spPr>
          <a:xfrm>
            <a:off x="1851113" y="1138680"/>
            <a:ext cx="587287" cy="2068946"/>
          </a:xfrm>
          <a:prstGeom prst="rect">
            <a:avLst/>
          </a:prstGeom>
          <a:solidFill>
            <a:srgbClr val="DC294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22" name="Rectangle 21">
            <a:extLst>
              <a:ext uri="{FF2B5EF4-FFF2-40B4-BE49-F238E27FC236}">
                <a16:creationId xmlns:a16="http://schemas.microsoft.com/office/drawing/2014/main" id="{75E2095C-C7D3-7255-0D21-EE41D2010F3F}"/>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twoCellAnchor>
    <xdr:from>
      <xdr:col>5</xdr:col>
      <xdr:colOff>654342</xdr:colOff>
      <xdr:row>11</xdr:row>
      <xdr:rowOff>114300</xdr:rowOff>
    </xdr:from>
    <xdr:to>
      <xdr:col>6</xdr:col>
      <xdr:colOff>108154</xdr:colOff>
      <xdr:row>17</xdr:row>
      <xdr:rowOff>11546</xdr:rowOff>
    </xdr:to>
    <xdr:grpSp>
      <xdr:nvGrpSpPr>
        <xdr:cNvPr id="23" name="Group 22">
          <a:extLst>
            <a:ext uri="{FF2B5EF4-FFF2-40B4-BE49-F238E27FC236}">
              <a16:creationId xmlns:a16="http://schemas.microsoft.com/office/drawing/2014/main" id="{F4759259-4AEA-4879-BC96-A12AFD3C6255}"/>
            </a:ext>
          </a:extLst>
        </xdr:cNvPr>
        <xdr:cNvGrpSpPr/>
      </xdr:nvGrpSpPr>
      <xdr:grpSpPr>
        <a:xfrm>
          <a:off x="6323622" y="4095750"/>
          <a:ext cx="583477" cy="2072756"/>
          <a:chOff x="1851113" y="1138680"/>
          <a:chExt cx="587287" cy="2068946"/>
        </a:xfrm>
      </xdr:grpSpPr>
      <xdr:sp macro="" textlink="">
        <xdr:nvSpPr>
          <xdr:cNvPr id="24" name="Rectangle 23">
            <a:extLst>
              <a:ext uri="{FF2B5EF4-FFF2-40B4-BE49-F238E27FC236}">
                <a16:creationId xmlns:a16="http://schemas.microsoft.com/office/drawing/2014/main" id="{87ABC712-80F1-7DD1-50F3-C5D4F683EEF6}"/>
              </a:ext>
            </a:extLst>
          </xdr:cNvPr>
          <xdr:cNvSpPr/>
        </xdr:nvSpPr>
        <xdr:spPr>
          <a:xfrm>
            <a:off x="1851113" y="1138680"/>
            <a:ext cx="587287" cy="2068946"/>
          </a:xfrm>
          <a:prstGeom prst="rect">
            <a:avLst/>
          </a:prstGeom>
          <a:solidFill>
            <a:srgbClr val="82103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25" name="Rectangle 24">
            <a:extLst>
              <a:ext uri="{FF2B5EF4-FFF2-40B4-BE49-F238E27FC236}">
                <a16:creationId xmlns:a16="http://schemas.microsoft.com/office/drawing/2014/main" id="{70C811EC-8783-CED2-B2C9-FB4E06696BC4}"/>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twoCellAnchor>
    <xdr:from>
      <xdr:col>6</xdr:col>
      <xdr:colOff>364098</xdr:colOff>
      <xdr:row>11</xdr:row>
      <xdr:rowOff>114300</xdr:rowOff>
    </xdr:from>
    <xdr:to>
      <xdr:col>6</xdr:col>
      <xdr:colOff>951385</xdr:colOff>
      <xdr:row>17</xdr:row>
      <xdr:rowOff>11546</xdr:rowOff>
    </xdr:to>
    <xdr:grpSp>
      <xdr:nvGrpSpPr>
        <xdr:cNvPr id="26" name="Group 25">
          <a:extLst>
            <a:ext uri="{FF2B5EF4-FFF2-40B4-BE49-F238E27FC236}">
              <a16:creationId xmlns:a16="http://schemas.microsoft.com/office/drawing/2014/main" id="{35A1383C-C105-4D12-8574-C53F8D5D687D}"/>
            </a:ext>
          </a:extLst>
        </xdr:cNvPr>
        <xdr:cNvGrpSpPr/>
      </xdr:nvGrpSpPr>
      <xdr:grpSpPr>
        <a:xfrm>
          <a:off x="7161138" y="4095750"/>
          <a:ext cx="591097" cy="2072756"/>
          <a:chOff x="1851113" y="1138680"/>
          <a:chExt cx="587287" cy="2068946"/>
        </a:xfrm>
      </xdr:grpSpPr>
      <xdr:sp macro="" textlink="">
        <xdr:nvSpPr>
          <xdr:cNvPr id="27" name="Rectangle 26">
            <a:extLst>
              <a:ext uri="{FF2B5EF4-FFF2-40B4-BE49-F238E27FC236}">
                <a16:creationId xmlns:a16="http://schemas.microsoft.com/office/drawing/2014/main" id="{FE053C12-741C-4D90-E095-112C9641303A}"/>
              </a:ext>
            </a:extLst>
          </xdr:cNvPr>
          <xdr:cNvSpPr/>
        </xdr:nvSpPr>
        <xdr:spPr>
          <a:xfrm>
            <a:off x="1851113" y="1138680"/>
            <a:ext cx="587287" cy="2068946"/>
          </a:xfrm>
          <a:prstGeom prst="rect">
            <a:avLst/>
          </a:prstGeom>
          <a:solidFill>
            <a:srgbClr val="5408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28" name="Rectangle 27">
            <a:extLst>
              <a:ext uri="{FF2B5EF4-FFF2-40B4-BE49-F238E27FC236}">
                <a16:creationId xmlns:a16="http://schemas.microsoft.com/office/drawing/2014/main" id="{6895AD4F-ABB1-50C7-AA33-FC02E8EC13E0}"/>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twoCellAnchor>
    <xdr:from>
      <xdr:col>7</xdr:col>
      <xdr:colOff>73854</xdr:colOff>
      <xdr:row>11</xdr:row>
      <xdr:rowOff>114300</xdr:rowOff>
    </xdr:from>
    <xdr:to>
      <xdr:col>7</xdr:col>
      <xdr:colOff>661141</xdr:colOff>
      <xdr:row>17</xdr:row>
      <xdr:rowOff>11546</xdr:rowOff>
    </xdr:to>
    <xdr:grpSp>
      <xdr:nvGrpSpPr>
        <xdr:cNvPr id="29" name="Group 28">
          <a:extLst>
            <a:ext uri="{FF2B5EF4-FFF2-40B4-BE49-F238E27FC236}">
              <a16:creationId xmlns:a16="http://schemas.microsoft.com/office/drawing/2014/main" id="{BF79ABAC-67C1-4340-A8CA-DE3F24723236}"/>
            </a:ext>
          </a:extLst>
        </xdr:cNvPr>
        <xdr:cNvGrpSpPr/>
      </xdr:nvGrpSpPr>
      <xdr:grpSpPr>
        <a:xfrm>
          <a:off x="8008179" y="4095750"/>
          <a:ext cx="591097" cy="2072756"/>
          <a:chOff x="1851113" y="1138680"/>
          <a:chExt cx="587287" cy="2068946"/>
        </a:xfrm>
      </xdr:grpSpPr>
      <xdr:sp macro="" textlink="">
        <xdr:nvSpPr>
          <xdr:cNvPr id="30" name="Rectangle 29">
            <a:extLst>
              <a:ext uri="{FF2B5EF4-FFF2-40B4-BE49-F238E27FC236}">
                <a16:creationId xmlns:a16="http://schemas.microsoft.com/office/drawing/2014/main" id="{ADF9212C-4673-1DCA-08AD-B79E64D43FD4}"/>
              </a:ext>
            </a:extLst>
          </xdr:cNvPr>
          <xdr:cNvSpPr/>
        </xdr:nvSpPr>
        <xdr:spPr>
          <a:xfrm>
            <a:off x="1851113" y="1138680"/>
            <a:ext cx="587287" cy="2068946"/>
          </a:xfrm>
          <a:prstGeom prst="rect">
            <a:avLst/>
          </a:prstGeom>
          <a:solidFill>
            <a:srgbClr val="7F113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31" name="Rectangle 30">
            <a:extLst>
              <a:ext uri="{FF2B5EF4-FFF2-40B4-BE49-F238E27FC236}">
                <a16:creationId xmlns:a16="http://schemas.microsoft.com/office/drawing/2014/main" id="{033CB1B0-9073-25E8-217F-C28DB36E17F2}"/>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twoCellAnchor>
    <xdr:from>
      <xdr:col>7</xdr:col>
      <xdr:colOff>917085</xdr:colOff>
      <xdr:row>11</xdr:row>
      <xdr:rowOff>114300</xdr:rowOff>
    </xdr:from>
    <xdr:to>
      <xdr:col>8</xdr:col>
      <xdr:colOff>370897</xdr:colOff>
      <xdr:row>17</xdr:row>
      <xdr:rowOff>11546</xdr:rowOff>
    </xdr:to>
    <xdr:grpSp>
      <xdr:nvGrpSpPr>
        <xdr:cNvPr id="32" name="Group 31">
          <a:extLst>
            <a:ext uri="{FF2B5EF4-FFF2-40B4-BE49-F238E27FC236}">
              <a16:creationId xmlns:a16="http://schemas.microsoft.com/office/drawing/2014/main" id="{1F72EAE8-944C-471E-A412-B4D7FBFCD1E5}"/>
            </a:ext>
          </a:extLst>
        </xdr:cNvPr>
        <xdr:cNvGrpSpPr/>
      </xdr:nvGrpSpPr>
      <xdr:grpSpPr>
        <a:xfrm>
          <a:off x="8851410" y="4095750"/>
          <a:ext cx="585382" cy="2072756"/>
          <a:chOff x="1851113" y="1138680"/>
          <a:chExt cx="587287" cy="2068946"/>
        </a:xfrm>
      </xdr:grpSpPr>
      <xdr:sp macro="" textlink="">
        <xdr:nvSpPr>
          <xdr:cNvPr id="33" name="Rectangle 32">
            <a:extLst>
              <a:ext uri="{FF2B5EF4-FFF2-40B4-BE49-F238E27FC236}">
                <a16:creationId xmlns:a16="http://schemas.microsoft.com/office/drawing/2014/main" id="{0315C741-FCD4-D6D0-410D-3EB293CF950D}"/>
              </a:ext>
            </a:extLst>
          </xdr:cNvPr>
          <xdr:cNvSpPr/>
        </xdr:nvSpPr>
        <xdr:spPr>
          <a:xfrm>
            <a:off x="1851113" y="1138680"/>
            <a:ext cx="587287" cy="2068946"/>
          </a:xfrm>
          <a:prstGeom prst="rect">
            <a:avLst/>
          </a:prstGeom>
          <a:solidFill>
            <a:srgbClr val="DB284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34" name="Rectangle 33">
            <a:extLst>
              <a:ext uri="{FF2B5EF4-FFF2-40B4-BE49-F238E27FC236}">
                <a16:creationId xmlns:a16="http://schemas.microsoft.com/office/drawing/2014/main" id="{58E306BA-EB88-8BFB-5DFA-D9FF366D294C}"/>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twoCellAnchor>
    <xdr:from>
      <xdr:col>8</xdr:col>
      <xdr:colOff>626839</xdr:colOff>
      <xdr:row>11</xdr:row>
      <xdr:rowOff>114300</xdr:rowOff>
    </xdr:from>
    <xdr:to>
      <xdr:col>9</xdr:col>
      <xdr:colOff>80651</xdr:colOff>
      <xdr:row>17</xdr:row>
      <xdr:rowOff>11546</xdr:rowOff>
    </xdr:to>
    <xdr:grpSp>
      <xdr:nvGrpSpPr>
        <xdr:cNvPr id="35" name="Group 34">
          <a:extLst>
            <a:ext uri="{FF2B5EF4-FFF2-40B4-BE49-F238E27FC236}">
              <a16:creationId xmlns:a16="http://schemas.microsoft.com/office/drawing/2014/main" id="{3272FB17-82DD-49A5-A235-21629CACEBE9}"/>
            </a:ext>
          </a:extLst>
        </xdr:cNvPr>
        <xdr:cNvGrpSpPr/>
      </xdr:nvGrpSpPr>
      <xdr:grpSpPr>
        <a:xfrm>
          <a:off x="9698449" y="4095750"/>
          <a:ext cx="585382" cy="2072756"/>
          <a:chOff x="1851113" y="1138680"/>
          <a:chExt cx="587287" cy="2068946"/>
        </a:xfrm>
      </xdr:grpSpPr>
      <xdr:sp macro="" textlink="">
        <xdr:nvSpPr>
          <xdr:cNvPr id="36" name="Rectangle 35">
            <a:extLst>
              <a:ext uri="{FF2B5EF4-FFF2-40B4-BE49-F238E27FC236}">
                <a16:creationId xmlns:a16="http://schemas.microsoft.com/office/drawing/2014/main" id="{7EB9C5A2-95D1-29C2-F7BC-126F2ACE47F1}"/>
              </a:ext>
            </a:extLst>
          </xdr:cNvPr>
          <xdr:cNvSpPr/>
        </xdr:nvSpPr>
        <xdr:spPr>
          <a:xfrm>
            <a:off x="1851113" y="1138680"/>
            <a:ext cx="587287" cy="2068946"/>
          </a:xfrm>
          <a:prstGeom prst="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sp macro="" textlink="">
        <xdr:nvSpPr>
          <xdr:cNvPr id="37" name="Rectangle 36">
            <a:extLst>
              <a:ext uri="{FF2B5EF4-FFF2-40B4-BE49-F238E27FC236}">
                <a16:creationId xmlns:a16="http://schemas.microsoft.com/office/drawing/2014/main" id="{A728BA9A-8880-7C46-1DF4-C4EE1353DE68}"/>
              </a:ext>
            </a:extLst>
          </xdr:cNvPr>
          <xdr:cNvSpPr/>
        </xdr:nvSpPr>
        <xdr:spPr>
          <a:xfrm>
            <a:off x="2142836" y="1138680"/>
            <a:ext cx="295564" cy="2068946"/>
          </a:xfrm>
          <a:prstGeom prst="rect">
            <a:avLst/>
          </a:prstGeom>
          <a:solidFill>
            <a:schemeClr val="bg1">
              <a:alpha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GB"/>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TheQuang" refreshedDate="46281.512534259258" createdVersion="8" refreshedVersion="8" minRefreshableVersion="3" recordCount="616" xr:uid="{CF2E77C2-5D5E-4690-B73F-F91283704385}">
  <cacheSource type="worksheet">
    <worksheetSource name="Table10"/>
  </cacheSource>
  <cacheFields count="7">
    <cacheField name="NGÀY CHI" numFmtId="14">
      <sharedItems containsSemiMixedTypes="0" containsNonDate="0" containsDate="1" containsString="0" minDate="2025-01-01T00:00:00" maxDate="2025-11-23T00:00:00" count="314">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7T00:00:00"/>
        <d v="2025-01-28T00:00:00"/>
        <d v="2025-01-29T00:00:00"/>
        <d v="2025-01-30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7T00:00:00"/>
        <d v="2025-09-28T00:00:00"/>
        <d v="2025-09-29T00:00:00"/>
        <d v="2025-09-30T00:00:00"/>
        <d v="2025-10-01T00:00:00"/>
        <d v="2025-10-02T00:00:00"/>
        <d v="2025-10-03T00:00:00"/>
        <d v="2025-10-08T00:00:00"/>
        <d v="2025-10-04T00:00:00"/>
        <d v="2025-10-05T00:00:00"/>
        <d v="2025-10-06T00:00:00"/>
        <d v="2025-10-07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1-01T00:00:00"/>
        <d v="2025-11-14T00:00:00"/>
        <d v="2025-11-02T00:00:00"/>
        <d v="2025-11-03T00:00:00"/>
        <d v="2025-11-18T00:00:00"/>
        <d v="2025-11-16T00:00:00"/>
        <d v="2025-11-04T00:00:00"/>
        <d v="2025-11-05T00:00:00"/>
        <d v="2025-11-06T00:00:00"/>
        <d v="2025-11-07T00:00:00"/>
        <d v="2025-11-08T00:00:00"/>
        <d v="2025-11-10T00:00:00"/>
        <d v="2025-11-09T00:00:00"/>
        <d v="2025-11-11T00:00:00"/>
        <d v="2025-11-12T00:00:00"/>
        <d v="2025-11-13T00:00:00"/>
        <d v="2025-11-15T00:00:00"/>
        <d v="2025-11-17T00:00:00"/>
        <d v="2025-11-19T00:00:00"/>
        <d v="2025-11-20T00:00:00"/>
        <d v="2025-11-21T00:00:00"/>
        <d v="2025-11-22T00:00:00"/>
      </sharedItems>
      <fieldGroup par="6"/>
    </cacheField>
    <cacheField name="NHÓM CHI TIÊU" numFmtId="0">
      <sharedItems count="5">
        <s v="Chi phí thiết yếu"/>
        <s v="Chi phí cá nhân"/>
        <s v="Giải trí và xã hội"/>
        <s v="Tiết kiệm, đầu tư"/>
        <s v="Quà tặng, hiếu, hỉ"/>
      </sharedItems>
    </cacheField>
    <cacheField name="LOẠI CHI TIÊU" numFmtId="0">
      <sharedItems count="14">
        <s v="Nhà ở"/>
        <s v="Hóa đơn hàng tháng"/>
        <s v="Học tập, phát triển"/>
        <s v="Bạn bè, đồng nghiệp"/>
        <s v="Đi lại"/>
        <s v="Ăn uống"/>
        <s v="Mua sắm"/>
        <s v="Tiết kiệm"/>
        <s v="Sức khỏe, làm đẹp"/>
        <s v="Du lịch"/>
        <s v="Đầu tư"/>
        <s v="Giải trí"/>
        <s v="Quà tặng"/>
        <s v="Hiếu, hỉ"/>
      </sharedItems>
    </cacheField>
    <cacheField name="CHI TIẾT" numFmtId="0">
      <sharedItems/>
    </cacheField>
    <cacheField name="SỐ TIỀN" numFmtId="165">
      <sharedItems containsSemiMixedTypes="0" containsString="0" containsNumber="1" containsInteger="1" minValue="18000" maxValue="3000000"/>
    </cacheField>
    <cacheField name="Days (NGÀY CHI)" numFmtId="0" databaseField="0">
      <fieldGroup base="0">
        <rangePr groupBy="days" startDate="2025-01-01T00:00:00" endDate="2025-11-23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3/2025"/>
        </groupItems>
      </fieldGroup>
    </cacheField>
    <cacheField name="Months (NGÀY CHI)" numFmtId="0" databaseField="0">
      <fieldGroup base="0">
        <rangePr groupBy="months" startDate="2025-01-01T00:00:00" endDate="2025-11-23T00:00:00"/>
        <groupItems count="14">
          <s v="&lt;1/1/2025"/>
          <s v="Jan"/>
          <s v="Feb"/>
          <s v="Mar"/>
          <s v="Apr"/>
          <s v="May"/>
          <s v="Jun"/>
          <s v="Jul"/>
          <s v="Aug"/>
          <s v="Sep"/>
          <s v="Oct"/>
          <s v="Nov"/>
          <s v="Dec"/>
          <s v="&gt;11/23/2025"/>
        </groupItems>
      </fieldGroup>
    </cacheField>
  </cacheFields>
  <extLst>
    <ext xmlns:x14="http://schemas.microsoft.com/office/spreadsheetml/2009/9/main" uri="{725AE2AE-9491-48be-B2B4-4EB974FC3084}">
      <x14:pivotCacheDefinition pivotCacheId="177475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6">
  <r>
    <x v="0"/>
    <x v="0"/>
    <x v="0"/>
    <s v="Nhà ở"/>
    <n v="1600000"/>
  </r>
  <r>
    <x v="0"/>
    <x v="0"/>
    <x v="1"/>
    <s v="Tiền rác"/>
    <n v="30000"/>
  </r>
  <r>
    <x v="1"/>
    <x v="0"/>
    <x v="1"/>
    <s v="Tiền điện"/>
    <n v="400000"/>
  </r>
  <r>
    <x v="1"/>
    <x v="0"/>
    <x v="1"/>
    <s v="Tiền nước"/>
    <n v="100000"/>
  </r>
  <r>
    <x v="1"/>
    <x v="1"/>
    <x v="2"/>
    <s v="Mua sách kế toán doanh nghiệp"/>
    <n v="350000"/>
  </r>
  <r>
    <x v="1"/>
    <x v="2"/>
    <x v="3"/>
    <s v="Cà phê"/>
    <n v="50000"/>
  </r>
  <r>
    <x v="2"/>
    <x v="0"/>
    <x v="1"/>
    <s v="Tiền mạng internet"/>
    <n v="200000"/>
  </r>
  <r>
    <x v="2"/>
    <x v="0"/>
    <x v="4"/>
    <s v="Đổ xăng"/>
    <n v="50000"/>
  </r>
  <r>
    <x v="2"/>
    <x v="1"/>
    <x v="5"/>
    <s v="Đi chợ"/>
    <n v="165000"/>
  </r>
  <r>
    <x v="2"/>
    <x v="2"/>
    <x v="6"/>
    <s v="Quần mới"/>
    <n v="220000"/>
  </r>
  <r>
    <x v="2"/>
    <x v="3"/>
    <x v="7"/>
    <s v="Gửi tiết kiệm"/>
    <n v="500000"/>
  </r>
  <r>
    <x v="3"/>
    <x v="1"/>
    <x v="5"/>
    <s v="Đi chợ"/>
    <n v="105000"/>
  </r>
  <r>
    <x v="3"/>
    <x v="0"/>
    <x v="4"/>
    <s v="Đổ xăng"/>
    <n v="50000"/>
  </r>
  <r>
    <x v="4"/>
    <x v="1"/>
    <x v="8"/>
    <s v="Sữa rửa mặt"/>
    <n v="100000"/>
  </r>
  <r>
    <x v="4"/>
    <x v="1"/>
    <x v="5"/>
    <s v="Đi chợ"/>
    <n v="86000"/>
  </r>
  <r>
    <x v="4"/>
    <x v="2"/>
    <x v="3"/>
    <s v="Cà phê"/>
    <n v="75000"/>
  </r>
  <r>
    <x v="4"/>
    <x v="2"/>
    <x v="9"/>
    <s v="Quỹ du lịch"/>
    <n v="500000"/>
  </r>
  <r>
    <x v="5"/>
    <x v="2"/>
    <x v="6"/>
    <s v="Mua tất"/>
    <n v="50000"/>
  </r>
  <r>
    <x v="5"/>
    <x v="3"/>
    <x v="10"/>
    <s v="Mua cổ phiếu"/>
    <n v="1000000"/>
  </r>
  <r>
    <x v="6"/>
    <x v="0"/>
    <x v="4"/>
    <s v="Đổ xăng"/>
    <n v="50000"/>
  </r>
  <r>
    <x v="6"/>
    <x v="0"/>
    <x v="4"/>
    <s v="Thay dầu"/>
    <n v="100000"/>
  </r>
  <r>
    <x v="6"/>
    <x v="0"/>
    <x v="4"/>
    <s v="Rửa xe"/>
    <n v="20000"/>
  </r>
  <r>
    <x v="6"/>
    <x v="1"/>
    <x v="5"/>
    <s v="Đi chợ"/>
    <n v="120000"/>
  </r>
  <r>
    <x v="6"/>
    <x v="2"/>
    <x v="11"/>
    <s v="đi xem phim"/>
    <n v="200000"/>
  </r>
  <r>
    <x v="7"/>
    <x v="2"/>
    <x v="3"/>
    <s v="Cà phê"/>
    <n v="50000"/>
  </r>
  <r>
    <x v="8"/>
    <x v="0"/>
    <x v="4"/>
    <s v="Đổ xăng"/>
    <n v="50000"/>
  </r>
  <r>
    <x v="8"/>
    <x v="1"/>
    <x v="5"/>
    <s v="Đi chợ"/>
    <n v="130000"/>
  </r>
  <r>
    <x v="9"/>
    <x v="1"/>
    <x v="8"/>
    <s v="Gội đầu"/>
    <n v="50000"/>
  </r>
  <r>
    <x v="10"/>
    <x v="2"/>
    <x v="11"/>
    <s v="Gói Netflix"/>
    <n v="220000"/>
  </r>
  <r>
    <x v="10"/>
    <x v="1"/>
    <x v="5"/>
    <s v="Đi chợ"/>
    <n v="140000"/>
  </r>
  <r>
    <x v="10"/>
    <x v="2"/>
    <x v="3"/>
    <s v="Cà phê"/>
    <n v="50000"/>
  </r>
  <r>
    <x v="11"/>
    <x v="2"/>
    <x v="6"/>
    <s v="Đồ lót"/>
    <n v="90000"/>
  </r>
  <r>
    <x v="12"/>
    <x v="1"/>
    <x v="5"/>
    <s v="Đi chợ"/>
    <n v="135000"/>
  </r>
  <r>
    <x v="13"/>
    <x v="2"/>
    <x v="3"/>
    <s v="Cà phê"/>
    <n v="50000"/>
  </r>
  <r>
    <x v="14"/>
    <x v="0"/>
    <x v="4"/>
    <s v="Đổ xăng"/>
    <n v="50000"/>
  </r>
  <r>
    <x v="14"/>
    <x v="1"/>
    <x v="2"/>
    <s v="Sách Nhà Giả Kim"/>
    <n v="99000"/>
  </r>
  <r>
    <x v="15"/>
    <x v="1"/>
    <x v="5"/>
    <s v="Đi chợ"/>
    <n v="150000"/>
  </r>
  <r>
    <x v="16"/>
    <x v="1"/>
    <x v="5"/>
    <s v="Đi chợ"/>
    <n v="160000"/>
  </r>
  <r>
    <x v="17"/>
    <x v="2"/>
    <x v="3"/>
    <s v="Cà phê"/>
    <n v="50000"/>
  </r>
  <r>
    <x v="18"/>
    <x v="1"/>
    <x v="5"/>
    <s v="Đi chợ"/>
    <n v="94000"/>
  </r>
  <r>
    <x v="19"/>
    <x v="0"/>
    <x v="4"/>
    <s v="Đổ xăng"/>
    <n v="50000"/>
  </r>
  <r>
    <x v="19"/>
    <x v="1"/>
    <x v="8"/>
    <s v="Kem đánh răng"/>
    <n v="65000"/>
  </r>
  <r>
    <x v="19"/>
    <x v="2"/>
    <x v="3"/>
    <s v="Cà phê"/>
    <n v="50000"/>
  </r>
  <r>
    <x v="20"/>
    <x v="1"/>
    <x v="5"/>
    <s v="Đi chợ"/>
    <n v="150000"/>
  </r>
  <r>
    <x v="21"/>
    <x v="1"/>
    <x v="5"/>
    <s v="Đi chợ"/>
    <n v="125000"/>
  </r>
  <r>
    <x v="22"/>
    <x v="2"/>
    <x v="6"/>
    <s v="Áo sơ mi"/>
    <n v="110000"/>
  </r>
  <r>
    <x v="22"/>
    <x v="4"/>
    <x v="12"/>
    <s v="Quà cho mẹ"/>
    <n v="150000"/>
  </r>
  <r>
    <x v="23"/>
    <x v="0"/>
    <x v="4"/>
    <s v="Đổ xăng"/>
    <n v="50000"/>
  </r>
  <r>
    <x v="24"/>
    <x v="1"/>
    <x v="8"/>
    <s v="Gội đầu"/>
    <n v="50000"/>
  </r>
  <r>
    <x v="24"/>
    <x v="1"/>
    <x v="5"/>
    <s v="Đi chợ"/>
    <n v="120000"/>
  </r>
  <r>
    <x v="25"/>
    <x v="1"/>
    <x v="5"/>
    <s v="Đi chợ"/>
    <n v="105000"/>
  </r>
  <r>
    <x v="26"/>
    <x v="0"/>
    <x v="4"/>
    <s v="Đổ xăng"/>
    <n v="50000"/>
  </r>
  <r>
    <x v="27"/>
    <x v="1"/>
    <x v="5"/>
    <s v="Đi chợ"/>
    <n v="120000"/>
  </r>
  <r>
    <x v="28"/>
    <x v="0"/>
    <x v="4"/>
    <s v="Đổ xăng"/>
    <n v="50000"/>
  </r>
  <r>
    <x v="29"/>
    <x v="0"/>
    <x v="0"/>
    <s v="Nhà ở"/>
    <n v="1600000"/>
  </r>
  <r>
    <x v="29"/>
    <x v="0"/>
    <x v="1"/>
    <s v="Tiền rác"/>
    <n v="32000"/>
  </r>
  <r>
    <x v="30"/>
    <x v="0"/>
    <x v="1"/>
    <s v="Tiền điện"/>
    <n v="420000"/>
  </r>
  <r>
    <x v="30"/>
    <x v="0"/>
    <x v="1"/>
    <s v="Tiền nước"/>
    <n v="105000"/>
  </r>
  <r>
    <x v="30"/>
    <x v="1"/>
    <x v="2"/>
    <s v="Mua sách kế toán doanh nghiệp"/>
    <n v="357000"/>
  </r>
  <r>
    <x v="30"/>
    <x v="2"/>
    <x v="3"/>
    <s v="Cà phê"/>
    <n v="53000"/>
  </r>
  <r>
    <x v="31"/>
    <x v="0"/>
    <x v="1"/>
    <s v="Tiền mạng internet"/>
    <n v="220000"/>
  </r>
  <r>
    <x v="31"/>
    <x v="0"/>
    <x v="4"/>
    <s v="Đổ xăng"/>
    <n v="54000"/>
  </r>
  <r>
    <x v="31"/>
    <x v="1"/>
    <x v="5"/>
    <s v="Đi chợ"/>
    <n v="177000"/>
  </r>
  <r>
    <x v="31"/>
    <x v="2"/>
    <x v="6"/>
    <s v="Quần mới"/>
    <n v="238000"/>
  </r>
  <r>
    <x v="31"/>
    <x v="3"/>
    <x v="7"/>
    <s v="Gửi tiết kiệm"/>
    <n v="500000"/>
  </r>
  <r>
    <x v="32"/>
    <x v="1"/>
    <x v="5"/>
    <s v="Đi chợ"/>
    <n v="116000"/>
  </r>
  <r>
    <x v="32"/>
    <x v="0"/>
    <x v="4"/>
    <s v="Đổ xăng"/>
    <n v="47000"/>
  </r>
  <r>
    <x v="33"/>
    <x v="1"/>
    <x v="8"/>
    <s v="Sữa rửa mặt"/>
    <n v="105000"/>
  </r>
  <r>
    <x v="33"/>
    <x v="1"/>
    <x v="5"/>
    <s v="Đi chợ"/>
    <n v="84000"/>
  </r>
  <r>
    <x v="33"/>
    <x v="2"/>
    <x v="3"/>
    <s v="Cà phê"/>
    <n v="70000"/>
  </r>
  <r>
    <x v="33"/>
    <x v="2"/>
    <x v="9"/>
    <s v="Quỹ du lịch"/>
    <n v="500000"/>
  </r>
  <r>
    <x v="34"/>
    <x v="2"/>
    <x v="6"/>
    <s v="Mua tất"/>
    <n v="50000"/>
  </r>
  <r>
    <x v="34"/>
    <x v="3"/>
    <x v="10"/>
    <s v="Mua cổ phiếu"/>
    <n v="1000000"/>
  </r>
  <r>
    <x v="35"/>
    <x v="0"/>
    <x v="4"/>
    <s v="Đổ xăng"/>
    <n v="51000"/>
  </r>
  <r>
    <x v="35"/>
    <x v="0"/>
    <x v="4"/>
    <s v="Thay dầu"/>
    <n v="105000"/>
  </r>
  <r>
    <x v="35"/>
    <x v="0"/>
    <x v="4"/>
    <s v="Rửa xe"/>
    <n v="20000"/>
  </r>
  <r>
    <x v="35"/>
    <x v="1"/>
    <x v="5"/>
    <s v="Đi chợ"/>
    <n v="125000"/>
  </r>
  <r>
    <x v="35"/>
    <x v="2"/>
    <x v="11"/>
    <s v="đi xem phim"/>
    <n v="220000"/>
  </r>
  <r>
    <x v="36"/>
    <x v="2"/>
    <x v="3"/>
    <s v="Cà phê"/>
    <n v="55000"/>
  </r>
  <r>
    <x v="37"/>
    <x v="0"/>
    <x v="4"/>
    <s v="Đổ xăng"/>
    <n v="47000"/>
  </r>
  <r>
    <x v="37"/>
    <x v="1"/>
    <x v="5"/>
    <s v="Đi chợ"/>
    <n v="130000"/>
  </r>
  <r>
    <x v="38"/>
    <x v="1"/>
    <x v="8"/>
    <s v="Gội đầu"/>
    <n v="55000"/>
  </r>
  <r>
    <x v="39"/>
    <x v="2"/>
    <x v="11"/>
    <s v="Gói Netflix"/>
    <n v="205000"/>
  </r>
  <r>
    <x v="39"/>
    <x v="1"/>
    <x v="5"/>
    <s v="Đi chợ"/>
    <n v="140000"/>
  </r>
  <r>
    <x v="39"/>
    <x v="2"/>
    <x v="3"/>
    <s v="Cà phê"/>
    <n v="52000"/>
  </r>
  <r>
    <x v="40"/>
    <x v="2"/>
    <x v="6"/>
    <s v="Đồ lót"/>
    <n v="91000"/>
  </r>
  <r>
    <x v="41"/>
    <x v="1"/>
    <x v="5"/>
    <s v="Đi chợ"/>
    <n v="147000"/>
  </r>
  <r>
    <x v="41"/>
    <x v="4"/>
    <x v="13"/>
    <s v="Đám cưới"/>
    <n v="465000"/>
  </r>
  <r>
    <x v="42"/>
    <x v="2"/>
    <x v="3"/>
    <s v="Cà phê"/>
    <n v="49000"/>
  </r>
  <r>
    <x v="43"/>
    <x v="0"/>
    <x v="4"/>
    <s v="Đổ xăng"/>
    <n v="55000"/>
  </r>
  <r>
    <x v="43"/>
    <x v="1"/>
    <x v="2"/>
    <s v="Sách Nhà Giả Kim"/>
    <n v="109000"/>
  </r>
  <r>
    <x v="44"/>
    <x v="1"/>
    <x v="5"/>
    <s v="Đi chợ"/>
    <n v="165000"/>
  </r>
  <r>
    <x v="45"/>
    <x v="1"/>
    <x v="5"/>
    <s v="Đi chợ"/>
    <n v="170000"/>
  </r>
  <r>
    <x v="46"/>
    <x v="2"/>
    <x v="3"/>
    <s v="Cà phê"/>
    <n v="55000"/>
  </r>
  <r>
    <x v="47"/>
    <x v="1"/>
    <x v="5"/>
    <s v="Đi chợ"/>
    <n v="88000"/>
  </r>
  <r>
    <x v="48"/>
    <x v="0"/>
    <x v="4"/>
    <s v="Đổ xăng"/>
    <n v="48000"/>
  </r>
  <r>
    <x v="48"/>
    <x v="1"/>
    <x v="8"/>
    <s v="Kem đánh răng"/>
    <n v="67000"/>
  </r>
  <r>
    <x v="48"/>
    <x v="2"/>
    <x v="3"/>
    <s v="Cà phê"/>
    <n v="51000"/>
  </r>
  <r>
    <x v="49"/>
    <x v="1"/>
    <x v="5"/>
    <s v="Đi chợ"/>
    <n v="149000"/>
  </r>
  <r>
    <x v="50"/>
    <x v="1"/>
    <x v="5"/>
    <s v="Đi chợ"/>
    <n v="133000"/>
  </r>
  <r>
    <x v="51"/>
    <x v="2"/>
    <x v="6"/>
    <s v="Áo sơ mi"/>
    <n v="116000"/>
  </r>
  <r>
    <x v="51"/>
    <x v="4"/>
    <x v="12"/>
    <s v="Quà cho nguời yêu"/>
    <n v="265000"/>
  </r>
  <r>
    <x v="52"/>
    <x v="0"/>
    <x v="4"/>
    <s v="Đổ xăng"/>
    <n v="48000"/>
  </r>
  <r>
    <x v="53"/>
    <x v="1"/>
    <x v="8"/>
    <s v="Gội đầu"/>
    <n v="53000"/>
  </r>
  <r>
    <x v="53"/>
    <x v="1"/>
    <x v="5"/>
    <s v="Đi chợ"/>
    <n v="115000"/>
  </r>
  <r>
    <x v="54"/>
    <x v="1"/>
    <x v="5"/>
    <s v="Đi chợ"/>
    <n v="109000"/>
  </r>
  <r>
    <x v="55"/>
    <x v="0"/>
    <x v="4"/>
    <s v="Đổ xăng"/>
    <n v="55000"/>
  </r>
  <r>
    <x v="56"/>
    <x v="1"/>
    <x v="5"/>
    <s v="Đi chợ"/>
    <n v="126000"/>
  </r>
  <r>
    <x v="56"/>
    <x v="0"/>
    <x v="4"/>
    <s v="Đổ xăng"/>
    <n v="55000"/>
  </r>
  <r>
    <x v="56"/>
    <x v="0"/>
    <x v="0"/>
    <s v="Nhà ở"/>
    <n v="1600000"/>
  </r>
  <r>
    <x v="56"/>
    <x v="0"/>
    <x v="1"/>
    <s v="Tiền rác"/>
    <n v="30000"/>
  </r>
  <r>
    <x v="57"/>
    <x v="0"/>
    <x v="1"/>
    <s v="Tiền điện"/>
    <n v="441000"/>
  </r>
  <r>
    <x v="57"/>
    <x v="0"/>
    <x v="1"/>
    <s v="Tiền nước"/>
    <n v="111000"/>
  </r>
  <r>
    <x v="57"/>
    <x v="1"/>
    <x v="2"/>
    <s v="Mua sách kế toán doanh nghiệp"/>
    <n v="368000"/>
  </r>
  <r>
    <x v="57"/>
    <x v="2"/>
    <x v="3"/>
    <s v="Cà phê"/>
    <n v="55000"/>
  </r>
  <r>
    <x v="58"/>
    <x v="0"/>
    <x v="1"/>
    <s v="Tiền mạng internet"/>
    <n v="211000"/>
  </r>
  <r>
    <x v="58"/>
    <x v="0"/>
    <x v="4"/>
    <s v="Đổ xăng"/>
    <n v="58000"/>
  </r>
  <r>
    <x v="58"/>
    <x v="1"/>
    <x v="5"/>
    <s v="Đi chợ"/>
    <n v="188000"/>
  </r>
  <r>
    <x v="58"/>
    <x v="2"/>
    <x v="6"/>
    <s v="Quần mới"/>
    <n v="338000"/>
  </r>
  <r>
    <x v="58"/>
    <x v="3"/>
    <x v="7"/>
    <s v="Gửi tiết kiệm"/>
    <n v="500000"/>
  </r>
  <r>
    <x v="59"/>
    <x v="1"/>
    <x v="5"/>
    <s v="Đi chợ"/>
    <n v="110000"/>
  </r>
  <r>
    <x v="59"/>
    <x v="0"/>
    <x v="4"/>
    <s v="Đổ xăng"/>
    <n v="48000"/>
  </r>
  <r>
    <x v="60"/>
    <x v="1"/>
    <x v="8"/>
    <s v="Sữa rửa mặt"/>
    <n v="104000"/>
  </r>
  <r>
    <x v="60"/>
    <x v="1"/>
    <x v="5"/>
    <s v="Đi chợ"/>
    <n v="85000"/>
  </r>
  <r>
    <x v="60"/>
    <x v="2"/>
    <x v="3"/>
    <s v="Cà phê"/>
    <n v="77000"/>
  </r>
  <r>
    <x v="60"/>
    <x v="2"/>
    <x v="9"/>
    <s v="Quỹ du lịch"/>
    <n v="500000"/>
  </r>
  <r>
    <x v="61"/>
    <x v="2"/>
    <x v="6"/>
    <s v="Mua tất"/>
    <n v="54000"/>
  </r>
  <r>
    <x v="61"/>
    <x v="3"/>
    <x v="10"/>
    <s v="Mua cổ phiếu"/>
    <n v="1000000"/>
  </r>
  <r>
    <x v="62"/>
    <x v="0"/>
    <x v="4"/>
    <s v="Đổ xăng"/>
    <n v="54000"/>
  </r>
  <r>
    <x v="62"/>
    <x v="0"/>
    <x v="4"/>
    <s v="Thay dầu"/>
    <n v="104000"/>
  </r>
  <r>
    <x v="62"/>
    <x v="0"/>
    <x v="4"/>
    <s v="Rửa xe"/>
    <n v="21000"/>
  </r>
  <r>
    <x v="62"/>
    <x v="1"/>
    <x v="5"/>
    <s v="Đi chợ"/>
    <n v="128000"/>
  </r>
  <r>
    <x v="62"/>
    <x v="2"/>
    <x v="11"/>
    <s v="đi xem phim"/>
    <n v="25000"/>
  </r>
  <r>
    <x v="63"/>
    <x v="2"/>
    <x v="3"/>
    <s v="Cà phê"/>
    <n v="54000"/>
  </r>
  <r>
    <x v="64"/>
    <x v="0"/>
    <x v="4"/>
    <s v="Đổ xăng"/>
    <n v="52000"/>
  </r>
  <r>
    <x v="64"/>
    <x v="1"/>
    <x v="5"/>
    <s v="Đi chợ"/>
    <n v="142000"/>
  </r>
  <r>
    <x v="65"/>
    <x v="1"/>
    <x v="8"/>
    <s v="Gội đầu"/>
    <n v="55000"/>
  </r>
  <r>
    <x v="66"/>
    <x v="2"/>
    <x v="11"/>
    <s v="Gói Netflix"/>
    <n v="220000"/>
  </r>
  <r>
    <x v="66"/>
    <x v="1"/>
    <x v="5"/>
    <s v="Đi chợ"/>
    <n v="139000"/>
  </r>
  <r>
    <x v="66"/>
    <x v="2"/>
    <x v="3"/>
    <s v="Cà phê"/>
    <n v="151000"/>
  </r>
  <r>
    <x v="67"/>
    <x v="2"/>
    <x v="6"/>
    <s v="Đồ lót"/>
    <n v="195000"/>
  </r>
  <r>
    <x v="68"/>
    <x v="1"/>
    <x v="5"/>
    <s v="Đi chợ"/>
    <n v="160000"/>
  </r>
  <r>
    <x v="68"/>
    <x v="4"/>
    <x v="13"/>
    <s v="Đám cưới"/>
    <n v="500000"/>
  </r>
  <r>
    <x v="69"/>
    <x v="2"/>
    <x v="3"/>
    <s v="Cà phê"/>
    <n v="54000"/>
  </r>
  <r>
    <x v="70"/>
    <x v="0"/>
    <x v="4"/>
    <s v="Đổ xăng"/>
    <n v="56000"/>
  </r>
  <r>
    <x v="70"/>
    <x v="1"/>
    <x v="2"/>
    <s v="Sách Nhà Giả Kim"/>
    <n v="105000"/>
  </r>
  <r>
    <x v="71"/>
    <x v="1"/>
    <x v="5"/>
    <s v="Đi chợ"/>
    <n v="170000"/>
  </r>
  <r>
    <x v="72"/>
    <x v="1"/>
    <x v="5"/>
    <s v="Đi chợ"/>
    <n v="158000"/>
  </r>
  <r>
    <x v="73"/>
    <x v="2"/>
    <x v="3"/>
    <s v="Cà phê"/>
    <n v="58000"/>
  </r>
  <r>
    <x v="74"/>
    <x v="1"/>
    <x v="5"/>
    <s v="Đi chợ"/>
    <n v="94000"/>
  </r>
  <r>
    <x v="75"/>
    <x v="0"/>
    <x v="4"/>
    <s v="Đổ xăng"/>
    <n v="151000"/>
  </r>
  <r>
    <x v="75"/>
    <x v="1"/>
    <x v="8"/>
    <s v="Kem đánh răng"/>
    <n v="66000"/>
  </r>
  <r>
    <x v="75"/>
    <x v="2"/>
    <x v="3"/>
    <s v="Cà phê"/>
    <n v="153000"/>
  </r>
  <r>
    <x v="76"/>
    <x v="1"/>
    <x v="5"/>
    <s v="Đi chợ"/>
    <n v="146000"/>
  </r>
  <r>
    <x v="77"/>
    <x v="1"/>
    <x v="5"/>
    <s v="Đi chợ"/>
    <n v="140000"/>
  </r>
  <r>
    <x v="78"/>
    <x v="2"/>
    <x v="6"/>
    <s v="Áo sơ mi"/>
    <n v="318000"/>
  </r>
  <r>
    <x v="78"/>
    <x v="4"/>
    <x v="13"/>
    <s v="Đám cưới"/>
    <n v="500000"/>
  </r>
  <r>
    <x v="79"/>
    <x v="0"/>
    <x v="4"/>
    <s v="Đổ xăng"/>
    <n v="47000"/>
  </r>
  <r>
    <x v="80"/>
    <x v="1"/>
    <x v="8"/>
    <s v="Gội đầu"/>
    <n v="56000"/>
  </r>
  <r>
    <x v="80"/>
    <x v="1"/>
    <x v="5"/>
    <s v="Đi chợ"/>
    <n v="125000"/>
  </r>
  <r>
    <x v="81"/>
    <x v="1"/>
    <x v="5"/>
    <s v="Đi chợ"/>
    <n v="118000"/>
  </r>
  <r>
    <x v="82"/>
    <x v="0"/>
    <x v="4"/>
    <s v="Đổ xăng"/>
    <n v="58000"/>
  </r>
  <r>
    <x v="83"/>
    <x v="1"/>
    <x v="5"/>
    <s v="Đi chợ"/>
    <n v="127000"/>
  </r>
  <r>
    <x v="83"/>
    <x v="0"/>
    <x v="4"/>
    <s v="Đổ xăng"/>
    <n v="56000"/>
  </r>
  <r>
    <x v="84"/>
    <x v="1"/>
    <x v="5"/>
    <s v="Đi chợ"/>
    <n v="118000"/>
  </r>
  <r>
    <x v="85"/>
    <x v="0"/>
    <x v="4"/>
    <s v="Đổ xăng"/>
    <n v="58000"/>
  </r>
  <r>
    <x v="86"/>
    <x v="0"/>
    <x v="0"/>
    <s v="Nhà ở"/>
    <n v="1600000"/>
  </r>
  <r>
    <x v="86"/>
    <x v="0"/>
    <x v="1"/>
    <s v="Tiền rác"/>
    <n v="32000"/>
  </r>
  <r>
    <x v="87"/>
    <x v="0"/>
    <x v="1"/>
    <s v="Tiền điện"/>
    <n v="445000"/>
  </r>
  <r>
    <x v="87"/>
    <x v="0"/>
    <x v="1"/>
    <s v="Tiền nước"/>
    <n v="105000"/>
  </r>
  <r>
    <x v="87"/>
    <x v="1"/>
    <x v="2"/>
    <s v="Mua sách kế toán doanh nghiệp"/>
    <n v="357000"/>
  </r>
  <r>
    <x v="87"/>
    <x v="2"/>
    <x v="3"/>
    <s v="Cà phê"/>
    <n v="57000"/>
  </r>
  <r>
    <x v="88"/>
    <x v="0"/>
    <x v="1"/>
    <s v="Tiền mạng internet"/>
    <n v="205000"/>
  </r>
  <r>
    <x v="88"/>
    <x v="0"/>
    <x v="4"/>
    <s v="Đổ xăng"/>
    <n v="59000"/>
  </r>
  <r>
    <x v="88"/>
    <x v="1"/>
    <x v="5"/>
    <s v="Đi chợ"/>
    <n v="190000"/>
  </r>
  <r>
    <x v="88"/>
    <x v="2"/>
    <x v="6"/>
    <s v="Quần mới"/>
    <n v="262000"/>
  </r>
  <r>
    <x v="88"/>
    <x v="3"/>
    <x v="7"/>
    <s v="Gửi tiết kiệm"/>
    <n v="500000"/>
  </r>
  <r>
    <x v="89"/>
    <x v="1"/>
    <x v="5"/>
    <s v="Đi chợ"/>
    <n v="105000"/>
  </r>
  <r>
    <x v="89"/>
    <x v="0"/>
    <x v="4"/>
    <s v="Đổ xăng"/>
    <n v="48000"/>
  </r>
  <r>
    <x v="90"/>
    <x v="1"/>
    <x v="8"/>
    <s v="Sữa rửa mặt"/>
    <n v="103000"/>
  </r>
  <r>
    <x v="90"/>
    <x v="1"/>
    <x v="5"/>
    <s v="Đi chợ"/>
    <n v="94000"/>
  </r>
  <r>
    <x v="90"/>
    <x v="2"/>
    <x v="3"/>
    <s v="Cà phê"/>
    <n v="72000"/>
  </r>
  <r>
    <x v="90"/>
    <x v="2"/>
    <x v="9"/>
    <s v="Quỹ du lịch"/>
    <n v="500000"/>
  </r>
  <r>
    <x v="91"/>
    <x v="2"/>
    <x v="6"/>
    <s v="Mua tất"/>
    <n v="56000"/>
  </r>
  <r>
    <x v="91"/>
    <x v="3"/>
    <x v="10"/>
    <s v="Mua cổ phiếu"/>
    <n v="2000000"/>
  </r>
  <r>
    <x v="92"/>
    <x v="0"/>
    <x v="4"/>
    <s v="Đổ xăng"/>
    <n v="55000"/>
  </r>
  <r>
    <x v="92"/>
    <x v="0"/>
    <x v="4"/>
    <s v="Thay dầu"/>
    <n v="107000"/>
  </r>
  <r>
    <x v="92"/>
    <x v="0"/>
    <x v="4"/>
    <s v="Rửa xe"/>
    <n v="23000"/>
  </r>
  <r>
    <x v="92"/>
    <x v="1"/>
    <x v="5"/>
    <s v="Đi chợ"/>
    <n v="134000"/>
  </r>
  <r>
    <x v="92"/>
    <x v="2"/>
    <x v="11"/>
    <s v="đi xem phim"/>
    <n v="244000"/>
  </r>
  <r>
    <x v="93"/>
    <x v="2"/>
    <x v="3"/>
    <s v="Cà phê"/>
    <n v="56000"/>
  </r>
  <r>
    <x v="94"/>
    <x v="0"/>
    <x v="4"/>
    <s v="Đổ xăng"/>
    <n v="50000"/>
  </r>
  <r>
    <x v="94"/>
    <x v="1"/>
    <x v="5"/>
    <s v="Đi chợ"/>
    <n v="136000"/>
  </r>
  <r>
    <x v="95"/>
    <x v="1"/>
    <x v="8"/>
    <s v="Gội đầu"/>
    <n v="60000"/>
  </r>
  <r>
    <x v="96"/>
    <x v="2"/>
    <x v="11"/>
    <s v="Gói Netflix"/>
    <n v="226000"/>
  </r>
  <r>
    <x v="96"/>
    <x v="1"/>
    <x v="5"/>
    <s v="Đi chợ"/>
    <n v="147000"/>
  </r>
  <r>
    <x v="96"/>
    <x v="2"/>
    <x v="3"/>
    <s v="Cà phê"/>
    <n v="53000"/>
  </r>
  <r>
    <x v="97"/>
    <x v="2"/>
    <x v="6"/>
    <s v="Đồ lót"/>
    <n v="99000"/>
  </r>
  <r>
    <x v="98"/>
    <x v="1"/>
    <x v="5"/>
    <s v="Đi chợ"/>
    <n v="176000"/>
  </r>
  <r>
    <x v="99"/>
    <x v="2"/>
    <x v="3"/>
    <s v="Cà phê"/>
    <n v="51000"/>
  </r>
  <r>
    <x v="100"/>
    <x v="0"/>
    <x v="4"/>
    <s v="Đổ xăng"/>
    <n v="54000"/>
  </r>
  <r>
    <x v="100"/>
    <x v="1"/>
    <x v="2"/>
    <s v="Sách Nhà Giả Kim"/>
    <n v="110000"/>
  </r>
  <r>
    <x v="101"/>
    <x v="1"/>
    <x v="5"/>
    <s v="Đi chợ"/>
    <n v="184000"/>
  </r>
  <r>
    <x v="102"/>
    <x v="1"/>
    <x v="5"/>
    <s v="Đi chợ"/>
    <n v="161000"/>
  </r>
  <r>
    <x v="103"/>
    <x v="2"/>
    <x v="3"/>
    <s v="Cà phê"/>
    <n v="59000"/>
  </r>
  <r>
    <x v="104"/>
    <x v="1"/>
    <x v="5"/>
    <s v="Đi chợ"/>
    <n v="102000"/>
  </r>
  <r>
    <x v="105"/>
    <x v="0"/>
    <x v="4"/>
    <s v="Đổ xăng"/>
    <n v="52000"/>
  </r>
  <r>
    <x v="105"/>
    <x v="1"/>
    <x v="8"/>
    <s v="Kem đánh răng"/>
    <n v="67000"/>
  </r>
  <r>
    <x v="105"/>
    <x v="2"/>
    <x v="3"/>
    <s v="Cà phê"/>
    <n v="51000"/>
  </r>
  <r>
    <x v="106"/>
    <x v="1"/>
    <x v="5"/>
    <s v="Đi chợ"/>
    <n v="161000"/>
  </r>
  <r>
    <x v="107"/>
    <x v="1"/>
    <x v="5"/>
    <s v="Đi chợ"/>
    <n v="148000"/>
  </r>
  <r>
    <x v="108"/>
    <x v="2"/>
    <x v="6"/>
    <s v="Áo sơ mi"/>
    <n v="117000"/>
  </r>
  <r>
    <x v="108"/>
    <x v="4"/>
    <x v="12"/>
    <s v="Quà cho nguời yêu"/>
    <n v="275000"/>
  </r>
  <r>
    <x v="109"/>
    <x v="0"/>
    <x v="4"/>
    <s v="Đổ xăng"/>
    <n v="48000"/>
  </r>
  <r>
    <x v="110"/>
    <x v="1"/>
    <x v="8"/>
    <s v="Gội đầu"/>
    <n v="62000"/>
  </r>
  <r>
    <x v="110"/>
    <x v="1"/>
    <x v="5"/>
    <s v="Đi chợ"/>
    <n v="128000"/>
  </r>
  <r>
    <x v="111"/>
    <x v="1"/>
    <x v="5"/>
    <s v="Đi chợ"/>
    <n v="111000"/>
  </r>
  <r>
    <x v="112"/>
    <x v="0"/>
    <x v="4"/>
    <s v="Đổ xăng"/>
    <n v="57000"/>
  </r>
  <r>
    <x v="113"/>
    <x v="1"/>
    <x v="5"/>
    <s v="Đi chợ"/>
    <n v="124000"/>
  </r>
  <r>
    <x v="113"/>
    <x v="0"/>
    <x v="4"/>
    <s v="Đổ xăng"/>
    <n v="54000"/>
  </r>
  <r>
    <x v="114"/>
    <x v="1"/>
    <x v="5"/>
    <s v="Đi chợ"/>
    <n v="124000"/>
  </r>
  <r>
    <x v="114"/>
    <x v="0"/>
    <x v="4"/>
    <s v="Đổ xăng"/>
    <n v="59000"/>
  </r>
  <r>
    <x v="115"/>
    <x v="0"/>
    <x v="0"/>
    <s v="Nhà ở"/>
    <n v="1600000"/>
  </r>
  <r>
    <x v="115"/>
    <x v="0"/>
    <x v="1"/>
    <s v="Tiền rác"/>
    <n v="31000"/>
  </r>
  <r>
    <x v="116"/>
    <x v="0"/>
    <x v="1"/>
    <s v="Tiền điện"/>
    <n v="485000"/>
  </r>
  <r>
    <x v="116"/>
    <x v="0"/>
    <x v="1"/>
    <s v="Tiền nước"/>
    <n v="103000"/>
  </r>
  <r>
    <x v="116"/>
    <x v="1"/>
    <x v="2"/>
    <s v="Mua sách kế toán doanh nghiệp"/>
    <n v="150000"/>
  </r>
  <r>
    <x v="116"/>
    <x v="2"/>
    <x v="3"/>
    <s v="Cà phê"/>
    <n v="55000"/>
  </r>
  <r>
    <x v="117"/>
    <x v="0"/>
    <x v="1"/>
    <s v="Tiền mạng internet"/>
    <n v="191000"/>
  </r>
  <r>
    <x v="117"/>
    <x v="0"/>
    <x v="4"/>
    <s v="Đổ xăng"/>
    <n v="58000"/>
  </r>
  <r>
    <x v="117"/>
    <x v="1"/>
    <x v="5"/>
    <s v="Đi chợ"/>
    <n v="186000"/>
  </r>
  <r>
    <x v="117"/>
    <x v="2"/>
    <x v="6"/>
    <s v="Quần mới"/>
    <n v="200000"/>
  </r>
  <r>
    <x v="117"/>
    <x v="3"/>
    <x v="7"/>
    <s v="Gửi tiết kiệm"/>
    <n v="500000"/>
  </r>
  <r>
    <x v="118"/>
    <x v="1"/>
    <x v="5"/>
    <s v="Đi chợ"/>
    <n v="109000"/>
  </r>
  <r>
    <x v="118"/>
    <x v="0"/>
    <x v="4"/>
    <s v="Đổ xăng"/>
    <n v="50000"/>
  </r>
  <r>
    <x v="119"/>
    <x v="1"/>
    <x v="8"/>
    <s v="Sữa rửa mặt"/>
    <n v="103000"/>
  </r>
  <r>
    <x v="119"/>
    <x v="1"/>
    <x v="5"/>
    <s v="Đi chợ"/>
    <n v="94000"/>
  </r>
  <r>
    <x v="119"/>
    <x v="2"/>
    <x v="3"/>
    <s v="Cà phê"/>
    <n v="76000"/>
  </r>
  <r>
    <x v="119"/>
    <x v="2"/>
    <x v="9"/>
    <s v="Quỹ du lịch"/>
    <n v="500000"/>
  </r>
  <r>
    <x v="120"/>
    <x v="2"/>
    <x v="6"/>
    <s v="Mua tất"/>
    <n v="58000"/>
  </r>
  <r>
    <x v="120"/>
    <x v="3"/>
    <x v="10"/>
    <s v="Mua cổ phiếu"/>
    <n v="1000000"/>
  </r>
  <r>
    <x v="121"/>
    <x v="0"/>
    <x v="4"/>
    <s v="Đổ xăng"/>
    <n v="54000"/>
  </r>
  <r>
    <x v="121"/>
    <x v="0"/>
    <x v="4"/>
    <s v="Thay dầu"/>
    <n v="106000"/>
  </r>
  <r>
    <x v="121"/>
    <x v="0"/>
    <x v="4"/>
    <s v="Rửa xe"/>
    <n v="23000"/>
  </r>
  <r>
    <x v="121"/>
    <x v="1"/>
    <x v="5"/>
    <s v="Đi chợ"/>
    <n v="130000"/>
  </r>
  <r>
    <x v="121"/>
    <x v="2"/>
    <x v="11"/>
    <s v="đi xem phim"/>
    <n v="229000"/>
  </r>
  <r>
    <x v="122"/>
    <x v="2"/>
    <x v="3"/>
    <s v="Cà phê"/>
    <n v="60000"/>
  </r>
  <r>
    <x v="123"/>
    <x v="0"/>
    <x v="4"/>
    <s v="Đổ xăng"/>
    <n v="49000"/>
  </r>
  <r>
    <x v="123"/>
    <x v="1"/>
    <x v="5"/>
    <s v="Đi chợ"/>
    <n v="128000"/>
  </r>
  <r>
    <x v="124"/>
    <x v="1"/>
    <x v="8"/>
    <s v="Gội đầu"/>
    <n v="62000"/>
  </r>
  <r>
    <x v="125"/>
    <x v="2"/>
    <x v="11"/>
    <s v="Gói Netflix"/>
    <n v="220000"/>
  </r>
  <r>
    <x v="125"/>
    <x v="1"/>
    <x v="5"/>
    <s v="Đi chợ"/>
    <n v="144000"/>
  </r>
  <r>
    <x v="125"/>
    <x v="2"/>
    <x v="3"/>
    <s v="Cà phê"/>
    <n v="54000"/>
  </r>
  <r>
    <x v="126"/>
    <x v="2"/>
    <x v="6"/>
    <s v="Đồ lót"/>
    <n v="108000"/>
  </r>
  <r>
    <x v="127"/>
    <x v="1"/>
    <x v="5"/>
    <s v="Đi chợ"/>
    <n v="174000"/>
  </r>
  <r>
    <x v="127"/>
    <x v="4"/>
    <x v="13"/>
    <s v="Đám cưới"/>
    <n v="500000"/>
  </r>
  <r>
    <x v="128"/>
    <x v="2"/>
    <x v="3"/>
    <s v="Cà phê"/>
    <n v="50000"/>
  </r>
  <r>
    <x v="129"/>
    <x v="0"/>
    <x v="4"/>
    <s v="Đổ xăng"/>
    <n v="52000"/>
  </r>
  <r>
    <x v="129"/>
    <x v="1"/>
    <x v="2"/>
    <s v="Sách Nhà Giả Kim"/>
    <n v="121000"/>
  </r>
  <r>
    <x v="130"/>
    <x v="1"/>
    <x v="5"/>
    <s v="Đi chợ"/>
    <n v="180000"/>
  </r>
  <r>
    <x v="131"/>
    <x v="1"/>
    <x v="5"/>
    <s v="Đi chợ"/>
    <n v="156000"/>
  </r>
  <r>
    <x v="132"/>
    <x v="2"/>
    <x v="3"/>
    <s v="Cà phê"/>
    <n v="60000"/>
  </r>
  <r>
    <x v="133"/>
    <x v="1"/>
    <x v="5"/>
    <s v="Đi chợ"/>
    <n v="97000"/>
  </r>
  <r>
    <x v="134"/>
    <x v="0"/>
    <x v="4"/>
    <s v="Đổ xăng"/>
    <n v="54000"/>
  </r>
  <r>
    <x v="134"/>
    <x v="1"/>
    <x v="8"/>
    <s v="Kem đánh răng"/>
    <n v="71000"/>
  </r>
  <r>
    <x v="134"/>
    <x v="2"/>
    <x v="3"/>
    <s v="Cà phê"/>
    <n v="56000"/>
  </r>
  <r>
    <x v="135"/>
    <x v="1"/>
    <x v="5"/>
    <s v="Đi chợ"/>
    <n v="156000"/>
  </r>
  <r>
    <x v="136"/>
    <x v="1"/>
    <x v="5"/>
    <s v="Đi chợ"/>
    <n v="139000"/>
  </r>
  <r>
    <x v="137"/>
    <x v="2"/>
    <x v="6"/>
    <s v="Áo sơ mi"/>
    <n v="115000"/>
  </r>
  <r>
    <x v="137"/>
    <x v="4"/>
    <x v="12"/>
    <s v="Quà cho nguời yêu"/>
    <n v="150000"/>
  </r>
  <r>
    <x v="138"/>
    <x v="0"/>
    <x v="4"/>
    <s v="Đổ xăng"/>
    <n v="49000"/>
  </r>
  <r>
    <x v="139"/>
    <x v="1"/>
    <x v="8"/>
    <s v="Gội đầu"/>
    <n v="64000"/>
  </r>
  <r>
    <x v="139"/>
    <x v="1"/>
    <x v="5"/>
    <s v="Đi chợ"/>
    <n v="134000"/>
  </r>
  <r>
    <x v="140"/>
    <x v="1"/>
    <x v="5"/>
    <s v="Đi chợ"/>
    <n v="114000"/>
  </r>
  <r>
    <x v="141"/>
    <x v="0"/>
    <x v="4"/>
    <s v="Đổ xăng"/>
    <n v="59000"/>
  </r>
  <r>
    <x v="142"/>
    <x v="1"/>
    <x v="5"/>
    <s v="Đi chợ"/>
    <n v="117000"/>
  </r>
  <r>
    <x v="142"/>
    <x v="0"/>
    <x v="4"/>
    <s v="Đổ xăng"/>
    <n v="59000"/>
  </r>
  <r>
    <x v="143"/>
    <x v="1"/>
    <x v="5"/>
    <s v="Đi chợ"/>
    <n v="129000"/>
  </r>
  <r>
    <x v="143"/>
    <x v="0"/>
    <x v="4"/>
    <s v="Đổ xăng"/>
    <n v="57000"/>
  </r>
  <r>
    <x v="144"/>
    <x v="0"/>
    <x v="0"/>
    <s v="Nhà ở"/>
    <n v="1600000"/>
  </r>
  <r>
    <x v="144"/>
    <x v="0"/>
    <x v="1"/>
    <s v="Tiền rác"/>
    <n v="36000"/>
  </r>
  <r>
    <x v="145"/>
    <x v="0"/>
    <x v="1"/>
    <s v="Tiền điện"/>
    <n v="479000"/>
  </r>
  <r>
    <x v="145"/>
    <x v="0"/>
    <x v="1"/>
    <s v="Tiền nước"/>
    <n v="106000"/>
  </r>
  <r>
    <x v="145"/>
    <x v="1"/>
    <x v="2"/>
    <s v="Mua sách kế toán doanh nghiệp"/>
    <n v="240000"/>
  </r>
  <r>
    <x v="145"/>
    <x v="2"/>
    <x v="3"/>
    <s v="Cà phê"/>
    <n v="63000"/>
  </r>
  <r>
    <x v="146"/>
    <x v="0"/>
    <x v="1"/>
    <s v="Tiền mạng internet"/>
    <n v="197000"/>
  </r>
  <r>
    <x v="146"/>
    <x v="0"/>
    <x v="4"/>
    <s v="Đổ xăng"/>
    <n v="63000"/>
  </r>
  <r>
    <x v="146"/>
    <x v="1"/>
    <x v="5"/>
    <s v="Đi chợ"/>
    <n v="169000"/>
  </r>
  <r>
    <x v="146"/>
    <x v="2"/>
    <x v="6"/>
    <s v="Quần mới"/>
    <n v="135000"/>
  </r>
  <r>
    <x v="146"/>
    <x v="3"/>
    <x v="7"/>
    <s v="Gửi tiết kiệm"/>
    <n v="500000"/>
  </r>
  <r>
    <x v="147"/>
    <x v="1"/>
    <x v="5"/>
    <s v="Đi chợ"/>
    <n v="104000"/>
  </r>
  <r>
    <x v="147"/>
    <x v="0"/>
    <x v="4"/>
    <s v="Đổ xăng"/>
    <n v="55000"/>
  </r>
  <r>
    <x v="148"/>
    <x v="1"/>
    <x v="8"/>
    <s v="Sữa rửa mặt"/>
    <n v="95000"/>
  </r>
  <r>
    <x v="148"/>
    <x v="1"/>
    <x v="5"/>
    <s v="Đi chợ"/>
    <n v="107000"/>
  </r>
  <r>
    <x v="148"/>
    <x v="2"/>
    <x v="3"/>
    <s v="Cà phê"/>
    <n v="81000"/>
  </r>
  <r>
    <x v="148"/>
    <x v="2"/>
    <x v="9"/>
    <s v="Quỹ du lịch"/>
    <n v="500000"/>
  </r>
  <r>
    <x v="149"/>
    <x v="2"/>
    <x v="6"/>
    <s v="Mua tất"/>
    <n v="53000"/>
  </r>
  <r>
    <x v="149"/>
    <x v="3"/>
    <x v="10"/>
    <s v="Mua cổ phiếu"/>
    <n v="1000000"/>
  </r>
  <r>
    <x v="150"/>
    <x v="0"/>
    <x v="4"/>
    <s v="Đổ xăng"/>
    <n v="55000"/>
  </r>
  <r>
    <x v="150"/>
    <x v="0"/>
    <x v="4"/>
    <s v="Thay dầu"/>
    <n v="105000"/>
  </r>
  <r>
    <x v="150"/>
    <x v="0"/>
    <x v="4"/>
    <s v="Rửa xe"/>
    <n v="24000"/>
  </r>
  <r>
    <x v="150"/>
    <x v="1"/>
    <x v="5"/>
    <s v="Đi chợ"/>
    <n v="113000"/>
  </r>
  <r>
    <x v="150"/>
    <x v="2"/>
    <x v="11"/>
    <s v="đi xem phim"/>
    <n v="210000"/>
  </r>
  <r>
    <x v="151"/>
    <x v="2"/>
    <x v="3"/>
    <s v="Cà phê"/>
    <n v="58000"/>
  </r>
  <r>
    <x v="152"/>
    <x v="0"/>
    <x v="4"/>
    <s v="Đổ xăng"/>
    <n v="44000"/>
  </r>
  <r>
    <x v="152"/>
    <x v="1"/>
    <x v="5"/>
    <s v="Đi chợ"/>
    <n v="127000"/>
  </r>
  <r>
    <x v="153"/>
    <x v="1"/>
    <x v="8"/>
    <s v="Gội đầu"/>
    <n v="66000"/>
  </r>
  <r>
    <x v="154"/>
    <x v="2"/>
    <x v="11"/>
    <s v="Gói Netflix"/>
    <n v="220000"/>
  </r>
  <r>
    <x v="154"/>
    <x v="1"/>
    <x v="5"/>
    <s v="Đi chợ"/>
    <n v="145000"/>
  </r>
  <r>
    <x v="154"/>
    <x v="2"/>
    <x v="3"/>
    <s v="Cà phê"/>
    <n v="61000"/>
  </r>
  <r>
    <x v="155"/>
    <x v="2"/>
    <x v="6"/>
    <s v="Đồ lót"/>
    <n v="116000"/>
  </r>
  <r>
    <x v="156"/>
    <x v="1"/>
    <x v="5"/>
    <s v="Đi chợ"/>
    <n v="175000"/>
  </r>
  <r>
    <x v="156"/>
    <x v="4"/>
    <x v="13"/>
    <s v="Đám cưới"/>
    <n v="500000"/>
  </r>
  <r>
    <x v="157"/>
    <x v="2"/>
    <x v="3"/>
    <s v="Cà phê"/>
    <n v="56000"/>
  </r>
  <r>
    <x v="158"/>
    <x v="0"/>
    <x v="4"/>
    <s v="Đổ xăng"/>
    <n v="59000"/>
  </r>
  <r>
    <x v="158"/>
    <x v="1"/>
    <x v="2"/>
    <s v="Sách Nhà Giả Kim"/>
    <n v="112000"/>
  </r>
  <r>
    <x v="159"/>
    <x v="1"/>
    <x v="5"/>
    <s v="Đi chợ"/>
    <n v="182000"/>
  </r>
  <r>
    <x v="160"/>
    <x v="1"/>
    <x v="5"/>
    <s v="Đi chợ"/>
    <n v="158000"/>
  </r>
  <r>
    <x v="161"/>
    <x v="2"/>
    <x v="3"/>
    <s v="Cà phê"/>
    <n v="70000"/>
  </r>
  <r>
    <x v="162"/>
    <x v="1"/>
    <x v="5"/>
    <s v="Đi chợ"/>
    <n v="104000"/>
  </r>
  <r>
    <x v="163"/>
    <x v="0"/>
    <x v="4"/>
    <s v="Đổ xăng"/>
    <n v="50000"/>
  </r>
  <r>
    <x v="163"/>
    <x v="1"/>
    <x v="8"/>
    <s v="Kem đánh răng"/>
    <n v="72000"/>
  </r>
  <r>
    <x v="163"/>
    <x v="2"/>
    <x v="3"/>
    <s v="Cà phê"/>
    <n v="54000"/>
  </r>
  <r>
    <x v="164"/>
    <x v="1"/>
    <x v="5"/>
    <s v="Đi chợ"/>
    <n v="160000"/>
  </r>
  <r>
    <x v="165"/>
    <x v="1"/>
    <x v="5"/>
    <s v="Đi chợ"/>
    <n v="133000"/>
  </r>
  <r>
    <x v="166"/>
    <x v="2"/>
    <x v="6"/>
    <s v="Áo sơ mi"/>
    <n v="114000"/>
  </r>
  <r>
    <x v="166"/>
    <x v="4"/>
    <x v="12"/>
    <s v="Quà cho nguời yêu"/>
    <n v="258000"/>
  </r>
  <r>
    <x v="167"/>
    <x v="0"/>
    <x v="4"/>
    <s v="Đổ xăng"/>
    <n v="51000"/>
  </r>
  <r>
    <x v="168"/>
    <x v="1"/>
    <x v="8"/>
    <s v="Gội đầu"/>
    <n v="71000"/>
  </r>
  <r>
    <x v="168"/>
    <x v="1"/>
    <x v="5"/>
    <s v="Đi chợ"/>
    <n v="142000"/>
  </r>
  <r>
    <x v="169"/>
    <x v="1"/>
    <x v="5"/>
    <s v="Đi chợ"/>
    <n v="119000"/>
  </r>
  <r>
    <x v="170"/>
    <x v="0"/>
    <x v="4"/>
    <s v="Đổ xăng"/>
    <n v="56000"/>
  </r>
  <r>
    <x v="171"/>
    <x v="1"/>
    <x v="5"/>
    <s v="Đi chợ"/>
    <n v="124000"/>
  </r>
  <r>
    <x v="171"/>
    <x v="0"/>
    <x v="4"/>
    <s v="Đổ xăng"/>
    <n v="57000"/>
  </r>
  <r>
    <x v="172"/>
    <x v="1"/>
    <x v="5"/>
    <s v="Đi chợ"/>
    <n v="131000"/>
  </r>
  <r>
    <x v="172"/>
    <x v="0"/>
    <x v="4"/>
    <s v="Đổ xăng"/>
    <n v="59000"/>
  </r>
  <r>
    <x v="173"/>
    <x v="0"/>
    <x v="0"/>
    <s v="Nhà ở"/>
    <n v="1600000"/>
  </r>
  <r>
    <x v="173"/>
    <x v="0"/>
    <x v="1"/>
    <s v="Tiền rác"/>
    <n v="37000"/>
  </r>
  <r>
    <x v="174"/>
    <x v="0"/>
    <x v="1"/>
    <s v="Tiền điện"/>
    <n v="489000"/>
  </r>
  <r>
    <x v="174"/>
    <x v="0"/>
    <x v="1"/>
    <s v="Tiền nước"/>
    <n v="113000"/>
  </r>
  <r>
    <x v="174"/>
    <x v="1"/>
    <x v="2"/>
    <s v="Mua sách kế toán doanh nghiệp"/>
    <n v="180000"/>
  </r>
  <r>
    <x v="174"/>
    <x v="2"/>
    <x v="3"/>
    <s v="Cà phê"/>
    <n v="64000"/>
  </r>
  <r>
    <x v="175"/>
    <x v="0"/>
    <x v="1"/>
    <s v="Tiền mạng internet"/>
    <n v="200000"/>
  </r>
  <r>
    <x v="175"/>
    <x v="0"/>
    <x v="4"/>
    <s v="Đổ xăng"/>
    <n v="59000"/>
  </r>
  <r>
    <x v="175"/>
    <x v="1"/>
    <x v="5"/>
    <s v="Đi chợ"/>
    <n v="169000"/>
  </r>
  <r>
    <x v="175"/>
    <x v="2"/>
    <x v="6"/>
    <s v="Quần mới"/>
    <n v="150000"/>
  </r>
  <r>
    <x v="175"/>
    <x v="3"/>
    <x v="7"/>
    <s v="Gửi tiết kiệm"/>
    <n v="1000000"/>
  </r>
  <r>
    <x v="176"/>
    <x v="1"/>
    <x v="5"/>
    <s v="Đi chợ"/>
    <n v="109000"/>
  </r>
  <r>
    <x v="176"/>
    <x v="0"/>
    <x v="4"/>
    <s v="Đổ xăng"/>
    <n v="56000"/>
  </r>
  <r>
    <x v="177"/>
    <x v="1"/>
    <x v="8"/>
    <s v="Sữa rửa mặt"/>
    <n v="88000"/>
  </r>
  <r>
    <x v="177"/>
    <x v="1"/>
    <x v="5"/>
    <s v="Đi chợ"/>
    <n v="112000"/>
  </r>
  <r>
    <x v="177"/>
    <x v="2"/>
    <x v="3"/>
    <s v="Cà phê"/>
    <n v="82000"/>
  </r>
  <r>
    <x v="177"/>
    <x v="2"/>
    <x v="9"/>
    <s v="Quỹ du lịch"/>
    <n v="500000"/>
  </r>
  <r>
    <x v="178"/>
    <x v="2"/>
    <x v="6"/>
    <s v="Mua tất"/>
    <n v="57000"/>
  </r>
  <r>
    <x v="178"/>
    <x v="3"/>
    <x v="10"/>
    <s v="Mua cổ phiếu"/>
    <n v="3000000"/>
  </r>
  <r>
    <x v="179"/>
    <x v="0"/>
    <x v="4"/>
    <s v="Đổ xăng"/>
    <n v="58000"/>
  </r>
  <r>
    <x v="179"/>
    <x v="0"/>
    <x v="4"/>
    <s v="Thay dầu"/>
    <n v="107000"/>
  </r>
  <r>
    <x v="179"/>
    <x v="0"/>
    <x v="4"/>
    <s v="Rửa xe"/>
    <n v="23000"/>
  </r>
  <r>
    <x v="179"/>
    <x v="1"/>
    <x v="5"/>
    <s v="Đi chợ"/>
    <n v="105000"/>
  </r>
  <r>
    <x v="179"/>
    <x v="2"/>
    <x v="11"/>
    <s v="đi xem phim"/>
    <n v="180000"/>
  </r>
  <r>
    <x v="180"/>
    <x v="2"/>
    <x v="3"/>
    <s v="Cà phê"/>
    <n v="60000"/>
  </r>
  <r>
    <x v="181"/>
    <x v="0"/>
    <x v="4"/>
    <s v="Đổ xăng"/>
    <n v="47000"/>
  </r>
  <r>
    <x v="181"/>
    <x v="1"/>
    <x v="5"/>
    <s v="Đi chợ"/>
    <n v="123000"/>
  </r>
  <r>
    <x v="182"/>
    <x v="1"/>
    <x v="8"/>
    <s v="Gội đầu"/>
    <n v="69000"/>
  </r>
  <r>
    <x v="183"/>
    <x v="2"/>
    <x v="11"/>
    <s v="Gói Netflix"/>
    <n v="220000"/>
  </r>
  <r>
    <x v="183"/>
    <x v="1"/>
    <x v="5"/>
    <s v="Đi chợ"/>
    <n v="142000"/>
  </r>
  <r>
    <x v="183"/>
    <x v="2"/>
    <x v="3"/>
    <s v="Cà phê"/>
    <n v="66000"/>
  </r>
  <r>
    <x v="184"/>
    <x v="2"/>
    <x v="6"/>
    <s v="Đồ lót"/>
    <n v="111000"/>
  </r>
  <r>
    <x v="185"/>
    <x v="1"/>
    <x v="5"/>
    <s v="Đi chợ"/>
    <n v="193000"/>
  </r>
  <r>
    <x v="185"/>
    <x v="4"/>
    <x v="13"/>
    <s v="Đám cưới"/>
    <n v="500000"/>
  </r>
  <r>
    <x v="186"/>
    <x v="2"/>
    <x v="3"/>
    <s v="Cà phê"/>
    <n v="62000"/>
  </r>
  <r>
    <x v="187"/>
    <x v="0"/>
    <x v="4"/>
    <s v="Đổ xăng"/>
    <n v="62000"/>
  </r>
  <r>
    <x v="187"/>
    <x v="1"/>
    <x v="2"/>
    <s v="Sách Nhà Giả Kim"/>
    <n v="118000"/>
  </r>
  <r>
    <x v="188"/>
    <x v="1"/>
    <x v="5"/>
    <s v="Đi chợ"/>
    <n v="200000"/>
  </r>
  <r>
    <x v="189"/>
    <x v="1"/>
    <x v="5"/>
    <s v="Đi chợ"/>
    <n v="153000"/>
  </r>
  <r>
    <x v="190"/>
    <x v="2"/>
    <x v="3"/>
    <s v="Cà phê"/>
    <n v="66000"/>
  </r>
  <r>
    <x v="191"/>
    <x v="1"/>
    <x v="5"/>
    <s v="Đi chợ"/>
    <n v="114000"/>
  </r>
  <r>
    <x v="192"/>
    <x v="0"/>
    <x v="4"/>
    <s v="Đổ xăng"/>
    <n v="52000"/>
  </r>
  <r>
    <x v="192"/>
    <x v="1"/>
    <x v="8"/>
    <s v="Kem đánh răng"/>
    <n v="78000"/>
  </r>
  <r>
    <x v="192"/>
    <x v="2"/>
    <x v="3"/>
    <s v="Cà phê"/>
    <n v="52000"/>
  </r>
  <r>
    <x v="193"/>
    <x v="1"/>
    <x v="5"/>
    <s v="Đi chợ"/>
    <n v="157000"/>
  </r>
  <r>
    <x v="194"/>
    <x v="1"/>
    <x v="5"/>
    <s v="Đi chợ"/>
    <n v="144000"/>
  </r>
  <r>
    <x v="195"/>
    <x v="2"/>
    <x v="6"/>
    <s v="Áo sơ mi"/>
    <n v="113000"/>
  </r>
  <r>
    <x v="195"/>
    <x v="4"/>
    <x v="13"/>
    <s v="Đám cưới"/>
    <n v="500000"/>
  </r>
  <r>
    <x v="196"/>
    <x v="0"/>
    <x v="4"/>
    <s v="Đổ xăng"/>
    <n v="56000"/>
  </r>
  <r>
    <x v="197"/>
    <x v="1"/>
    <x v="8"/>
    <s v="Gội đầu"/>
    <n v="75000"/>
  </r>
  <r>
    <x v="197"/>
    <x v="1"/>
    <x v="5"/>
    <s v="Đi chợ"/>
    <n v="132000"/>
  </r>
  <r>
    <x v="198"/>
    <x v="1"/>
    <x v="5"/>
    <s v="Đi chợ"/>
    <n v="114000"/>
  </r>
  <r>
    <x v="199"/>
    <x v="0"/>
    <x v="4"/>
    <s v="Đổ xăng"/>
    <n v="52000"/>
  </r>
  <r>
    <x v="200"/>
    <x v="1"/>
    <x v="5"/>
    <s v="Đi chợ"/>
    <n v="100000"/>
  </r>
  <r>
    <x v="200"/>
    <x v="0"/>
    <x v="4"/>
    <s v="Đổ xăng"/>
    <n v="60000"/>
  </r>
  <r>
    <x v="201"/>
    <x v="1"/>
    <x v="5"/>
    <s v="Đi chợ"/>
    <n v="105000"/>
  </r>
  <r>
    <x v="201"/>
    <x v="0"/>
    <x v="4"/>
    <s v="Đổ xăng"/>
    <n v="64000"/>
  </r>
  <r>
    <x v="202"/>
    <x v="1"/>
    <x v="5"/>
    <s v="Đi chợ"/>
    <n v="144000"/>
  </r>
  <r>
    <x v="203"/>
    <x v="0"/>
    <x v="0"/>
    <s v="Nhà ở"/>
    <n v="1600000"/>
  </r>
  <r>
    <x v="203"/>
    <x v="0"/>
    <x v="1"/>
    <s v="Tiền rác"/>
    <n v="36000"/>
  </r>
  <r>
    <x v="204"/>
    <x v="0"/>
    <x v="1"/>
    <s v="Tiền điện"/>
    <n v="469000"/>
  </r>
  <r>
    <x v="204"/>
    <x v="0"/>
    <x v="1"/>
    <s v="Tiền nước"/>
    <n v="104000"/>
  </r>
  <r>
    <x v="204"/>
    <x v="1"/>
    <x v="2"/>
    <s v="Mua sách kế toán doanh nghiệp"/>
    <n v="301000"/>
  </r>
  <r>
    <x v="204"/>
    <x v="2"/>
    <x v="3"/>
    <s v="Cà phê"/>
    <n v="65000"/>
  </r>
  <r>
    <x v="205"/>
    <x v="0"/>
    <x v="1"/>
    <s v="Tiền mạng internet"/>
    <n v="200000"/>
  </r>
  <r>
    <x v="205"/>
    <x v="0"/>
    <x v="4"/>
    <s v="Đổ xăng"/>
    <n v="53000"/>
  </r>
  <r>
    <x v="205"/>
    <x v="1"/>
    <x v="5"/>
    <s v="Đi chợ"/>
    <n v="155000"/>
  </r>
  <r>
    <x v="205"/>
    <x v="2"/>
    <x v="6"/>
    <s v="Quần mới"/>
    <n v="317000"/>
  </r>
  <r>
    <x v="205"/>
    <x v="3"/>
    <x v="7"/>
    <s v="Gửi tiết kiệm"/>
    <n v="500000"/>
  </r>
  <r>
    <x v="206"/>
    <x v="1"/>
    <x v="5"/>
    <s v="Đi chợ"/>
    <n v="105000"/>
  </r>
  <r>
    <x v="206"/>
    <x v="0"/>
    <x v="4"/>
    <s v="Đổ xăng"/>
    <n v="53000"/>
  </r>
  <r>
    <x v="207"/>
    <x v="1"/>
    <x v="8"/>
    <s v="Sữa rửa mặt"/>
    <n v="90000"/>
  </r>
  <r>
    <x v="207"/>
    <x v="1"/>
    <x v="5"/>
    <s v="Đi chợ"/>
    <n v="112000"/>
  </r>
  <r>
    <x v="207"/>
    <x v="2"/>
    <x v="3"/>
    <s v="Cà phê"/>
    <n v="78000"/>
  </r>
  <r>
    <x v="207"/>
    <x v="2"/>
    <x v="9"/>
    <s v="Quỹ du lịch"/>
    <n v="500000"/>
  </r>
  <r>
    <x v="208"/>
    <x v="2"/>
    <x v="6"/>
    <s v="Mua tất"/>
    <n v="58000"/>
  </r>
  <r>
    <x v="208"/>
    <x v="3"/>
    <x v="10"/>
    <s v="Mua cổ phiếu"/>
    <n v="1000000"/>
  </r>
  <r>
    <x v="209"/>
    <x v="0"/>
    <x v="4"/>
    <s v="Đổ xăng"/>
    <n v="57000"/>
  </r>
  <r>
    <x v="209"/>
    <x v="0"/>
    <x v="4"/>
    <s v="Thay dầu"/>
    <n v="105000"/>
  </r>
  <r>
    <x v="209"/>
    <x v="0"/>
    <x v="4"/>
    <s v="Rửa xe"/>
    <n v="21000"/>
  </r>
  <r>
    <x v="209"/>
    <x v="1"/>
    <x v="5"/>
    <s v="Đi chợ"/>
    <n v="99000"/>
  </r>
  <r>
    <x v="209"/>
    <x v="2"/>
    <x v="11"/>
    <s v="đi xem phim"/>
    <n v="225000"/>
  </r>
  <r>
    <x v="210"/>
    <x v="2"/>
    <x v="3"/>
    <s v="Cà phê"/>
    <n v="56000"/>
  </r>
  <r>
    <x v="211"/>
    <x v="0"/>
    <x v="4"/>
    <s v="Đổ xăng"/>
    <n v="47000"/>
  </r>
  <r>
    <x v="211"/>
    <x v="1"/>
    <x v="5"/>
    <s v="Đi chợ"/>
    <n v="123000"/>
  </r>
  <r>
    <x v="212"/>
    <x v="1"/>
    <x v="8"/>
    <s v="Gội đầu"/>
    <n v="63000"/>
  </r>
  <r>
    <x v="213"/>
    <x v="2"/>
    <x v="11"/>
    <s v="Gói Netflix"/>
    <n v="296000"/>
  </r>
  <r>
    <x v="213"/>
    <x v="1"/>
    <x v="5"/>
    <s v="Đi chợ"/>
    <n v="135000"/>
  </r>
  <r>
    <x v="213"/>
    <x v="2"/>
    <x v="3"/>
    <s v="Cà phê"/>
    <n v="65000"/>
  </r>
  <r>
    <x v="214"/>
    <x v="2"/>
    <x v="6"/>
    <s v="Đồ lót"/>
    <n v="111000"/>
  </r>
  <r>
    <x v="215"/>
    <x v="1"/>
    <x v="5"/>
    <s v="Đi chợ"/>
    <n v="176000"/>
  </r>
  <r>
    <x v="216"/>
    <x v="2"/>
    <x v="3"/>
    <s v="Cà phê"/>
    <n v="63000"/>
  </r>
  <r>
    <x v="217"/>
    <x v="0"/>
    <x v="4"/>
    <s v="Đổ xăng"/>
    <n v="59000"/>
  </r>
  <r>
    <x v="217"/>
    <x v="1"/>
    <x v="2"/>
    <s v="Sách Nhà Giả Kim"/>
    <n v="118000"/>
  </r>
  <r>
    <x v="218"/>
    <x v="1"/>
    <x v="5"/>
    <s v="Đi chợ"/>
    <n v="196000"/>
  </r>
  <r>
    <x v="219"/>
    <x v="1"/>
    <x v="5"/>
    <s v="Đi chợ"/>
    <n v="142000"/>
  </r>
  <r>
    <x v="220"/>
    <x v="2"/>
    <x v="3"/>
    <s v="Cà phê"/>
    <n v="67000"/>
  </r>
  <r>
    <x v="221"/>
    <x v="1"/>
    <x v="5"/>
    <s v="Đi chợ"/>
    <n v="115000"/>
  </r>
  <r>
    <x v="222"/>
    <x v="0"/>
    <x v="4"/>
    <s v="Đổ xăng"/>
    <n v="49000"/>
  </r>
  <r>
    <x v="222"/>
    <x v="1"/>
    <x v="8"/>
    <s v="Kem đánh răng"/>
    <n v="71000"/>
  </r>
  <r>
    <x v="222"/>
    <x v="2"/>
    <x v="3"/>
    <s v="Cà phê"/>
    <n v="52000"/>
  </r>
  <r>
    <x v="223"/>
    <x v="1"/>
    <x v="5"/>
    <s v="Đi chợ"/>
    <n v="160000"/>
  </r>
  <r>
    <x v="224"/>
    <x v="1"/>
    <x v="5"/>
    <s v="Đi chợ"/>
    <n v="132000"/>
  </r>
  <r>
    <x v="225"/>
    <x v="2"/>
    <x v="6"/>
    <s v="Áo sơ mi"/>
    <n v="104000"/>
  </r>
  <r>
    <x v="225"/>
    <x v="4"/>
    <x v="12"/>
    <s v="Quà cho nguời yêu"/>
    <n v="200000"/>
  </r>
  <r>
    <x v="226"/>
    <x v="0"/>
    <x v="4"/>
    <s v="Đổ xăng"/>
    <n v="53000"/>
  </r>
  <r>
    <x v="227"/>
    <x v="1"/>
    <x v="8"/>
    <s v="Gội đầu"/>
    <n v="77000"/>
  </r>
  <r>
    <x v="227"/>
    <x v="1"/>
    <x v="5"/>
    <s v="Đi chợ"/>
    <n v="123000"/>
  </r>
  <r>
    <x v="228"/>
    <x v="1"/>
    <x v="5"/>
    <s v="Đi chợ"/>
    <n v="105000"/>
  </r>
  <r>
    <x v="229"/>
    <x v="0"/>
    <x v="4"/>
    <s v="Đổ xăng"/>
    <n v="50000"/>
  </r>
  <r>
    <x v="230"/>
    <x v="1"/>
    <x v="5"/>
    <s v="Đi chợ"/>
    <n v="125000"/>
  </r>
  <r>
    <x v="230"/>
    <x v="0"/>
    <x v="4"/>
    <s v="Đổ xăng"/>
    <n v="58000"/>
  </r>
  <r>
    <x v="231"/>
    <x v="1"/>
    <x v="5"/>
    <s v="Đi chợ"/>
    <n v="147000"/>
  </r>
  <r>
    <x v="231"/>
    <x v="0"/>
    <x v="4"/>
    <s v="Đổ xăng"/>
    <n v="60000"/>
  </r>
  <r>
    <x v="232"/>
    <x v="1"/>
    <x v="5"/>
    <s v="Đi chợ"/>
    <n v="137000"/>
  </r>
  <r>
    <x v="233"/>
    <x v="0"/>
    <x v="0"/>
    <s v="Nhà ở"/>
    <n v="1600000"/>
  </r>
  <r>
    <x v="233"/>
    <x v="0"/>
    <x v="1"/>
    <s v="Tiền rác"/>
    <n v="35000"/>
  </r>
  <r>
    <x v="234"/>
    <x v="0"/>
    <x v="1"/>
    <s v="Tiền điện"/>
    <n v="431000"/>
  </r>
  <r>
    <x v="234"/>
    <x v="0"/>
    <x v="1"/>
    <s v="Tiền nước"/>
    <n v="105000"/>
  </r>
  <r>
    <x v="234"/>
    <x v="1"/>
    <x v="2"/>
    <s v="Mua sách kế toán doanh nghiệp"/>
    <n v="292000"/>
  </r>
  <r>
    <x v="234"/>
    <x v="2"/>
    <x v="3"/>
    <s v="Cà phê"/>
    <n v="64000"/>
  </r>
  <r>
    <x v="235"/>
    <x v="0"/>
    <x v="1"/>
    <s v="Tiền mạng internet"/>
    <n v="190000"/>
  </r>
  <r>
    <x v="235"/>
    <x v="0"/>
    <x v="4"/>
    <s v="Đổ xăng"/>
    <n v="52000"/>
  </r>
  <r>
    <x v="235"/>
    <x v="1"/>
    <x v="5"/>
    <s v="Đi chợ"/>
    <n v="158000"/>
  </r>
  <r>
    <x v="235"/>
    <x v="2"/>
    <x v="6"/>
    <s v="Quần mới"/>
    <n v="307000"/>
  </r>
  <r>
    <x v="235"/>
    <x v="3"/>
    <x v="7"/>
    <s v="Gửi tiết kiệm"/>
    <n v="500000"/>
  </r>
  <r>
    <x v="236"/>
    <x v="1"/>
    <x v="5"/>
    <s v="Đi chợ"/>
    <n v="100000"/>
  </r>
  <r>
    <x v="236"/>
    <x v="0"/>
    <x v="4"/>
    <s v="Đổ xăng"/>
    <n v="49000"/>
  </r>
  <r>
    <x v="237"/>
    <x v="1"/>
    <x v="8"/>
    <s v="Sữa rửa mặt"/>
    <n v="85000"/>
  </r>
  <r>
    <x v="237"/>
    <x v="1"/>
    <x v="5"/>
    <s v="Đi chợ"/>
    <n v="106000"/>
  </r>
  <r>
    <x v="237"/>
    <x v="2"/>
    <x v="3"/>
    <s v="Cà phê"/>
    <n v="76000"/>
  </r>
  <r>
    <x v="237"/>
    <x v="2"/>
    <x v="9"/>
    <s v="Quỹ du lịch"/>
    <n v="500000"/>
  </r>
  <r>
    <x v="238"/>
    <x v="2"/>
    <x v="6"/>
    <s v="Mua tất"/>
    <n v="53000"/>
  </r>
  <r>
    <x v="238"/>
    <x v="3"/>
    <x v="10"/>
    <s v="Mua cổ phiếu"/>
    <n v="1000000"/>
  </r>
  <r>
    <x v="239"/>
    <x v="0"/>
    <x v="4"/>
    <s v="Đổ xăng"/>
    <n v="52000"/>
  </r>
  <r>
    <x v="239"/>
    <x v="0"/>
    <x v="4"/>
    <s v="Thay dầu"/>
    <n v="101000"/>
  </r>
  <r>
    <x v="239"/>
    <x v="0"/>
    <x v="4"/>
    <s v="Rửa xe"/>
    <n v="21000"/>
  </r>
  <r>
    <x v="239"/>
    <x v="1"/>
    <x v="5"/>
    <s v="Đi chợ"/>
    <n v="100000"/>
  </r>
  <r>
    <x v="239"/>
    <x v="2"/>
    <x v="11"/>
    <s v="đi xem phim"/>
    <n v="250000"/>
  </r>
  <r>
    <x v="240"/>
    <x v="2"/>
    <x v="3"/>
    <s v="Cà phê"/>
    <n v="55000"/>
  </r>
  <r>
    <x v="241"/>
    <x v="0"/>
    <x v="4"/>
    <s v="Đổ xăng"/>
    <n v="45000"/>
  </r>
  <r>
    <x v="241"/>
    <x v="1"/>
    <x v="5"/>
    <s v="Đi chợ"/>
    <n v="122000"/>
  </r>
  <r>
    <x v="242"/>
    <x v="1"/>
    <x v="8"/>
    <s v="Gội đầu"/>
    <n v="61000"/>
  </r>
  <r>
    <x v="243"/>
    <x v="2"/>
    <x v="11"/>
    <s v="Gói Netflix"/>
    <n v="296000"/>
  </r>
  <r>
    <x v="243"/>
    <x v="1"/>
    <x v="5"/>
    <s v="Đi chợ"/>
    <n v="130000"/>
  </r>
  <r>
    <x v="243"/>
    <x v="2"/>
    <x v="3"/>
    <s v="Cà phê"/>
    <n v="62000"/>
  </r>
  <r>
    <x v="244"/>
    <x v="2"/>
    <x v="6"/>
    <s v="Đồ lót"/>
    <n v="111000"/>
  </r>
  <r>
    <x v="245"/>
    <x v="1"/>
    <x v="5"/>
    <s v="Đi chợ"/>
    <n v="162000"/>
  </r>
  <r>
    <x v="245"/>
    <x v="4"/>
    <x v="13"/>
    <s v="Đám cưới"/>
    <n v="545000"/>
  </r>
  <r>
    <x v="246"/>
    <x v="2"/>
    <x v="3"/>
    <s v="Cà phê"/>
    <n v="59000"/>
  </r>
  <r>
    <x v="247"/>
    <x v="0"/>
    <x v="4"/>
    <s v="Đổ xăng"/>
    <n v="58000"/>
  </r>
  <r>
    <x v="247"/>
    <x v="1"/>
    <x v="2"/>
    <s v="Sách Nhà Giả Kim"/>
    <n v="118000"/>
  </r>
  <r>
    <x v="248"/>
    <x v="1"/>
    <x v="5"/>
    <s v="Đi chợ"/>
    <n v="192000"/>
  </r>
  <r>
    <x v="249"/>
    <x v="1"/>
    <x v="5"/>
    <s v="Đi chợ"/>
    <n v="141000"/>
  </r>
  <r>
    <x v="250"/>
    <x v="2"/>
    <x v="3"/>
    <s v="Cà phê"/>
    <n v="68000"/>
  </r>
  <r>
    <x v="251"/>
    <x v="1"/>
    <x v="5"/>
    <s v="Đi chợ"/>
    <n v="117000"/>
  </r>
  <r>
    <x v="252"/>
    <x v="0"/>
    <x v="4"/>
    <s v="Đổ xăng"/>
    <n v="49000"/>
  </r>
  <r>
    <x v="252"/>
    <x v="1"/>
    <x v="8"/>
    <s v="Kem đánh răng"/>
    <n v="65000"/>
  </r>
  <r>
    <x v="252"/>
    <x v="2"/>
    <x v="3"/>
    <s v="Cà phê"/>
    <n v="53000"/>
  </r>
  <r>
    <x v="253"/>
    <x v="1"/>
    <x v="5"/>
    <s v="Đi chợ"/>
    <n v="155000"/>
  </r>
  <r>
    <x v="254"/>
    <x v="1"/>
    <x v="5"/>
    <s v="Đi chợ"/>
    <n v="120000"/>
  </r>
  <r>
    <x v="255"/>
    <x v="2"/>
    <x v="6"/>
    <s v="Áo sơ mi"/>
    <n v="101000"/>
  </r>
  <r>
    <x v="255"/>
    <x v="4"/>
    <x v="12"/>
    <s v="Quà cho nguời yêu"/>
    <n v="261000"/>
  </r>
  <r>
    <x v="256"/>
    <x v="0"/>
    <x v="4"/>
    <s v="Đổ xăng"/>
    <n v="54000"/>
  </r>
  <r>
    <x v="257"/>
    <x v="1"/>
    <x v="8"/>
    <s v="Gội đầu"/>
    <n v="78000"/>
  </r>
  <r>
    <x v="257"/>
    <x v="1"/>
    <x v="5"/>
    <s v="Đi chợ"/>
    <n v="122000"/>
  </r>
  <r>
    <x v="258"/>
    <x v="2"/>
    <x v="11"/>
    <s v="đi xem phim"/>
    <n v="250000"/>
  </r>
  <r>
    <x v="258"/>
    <x v="1"/>
    <x v="5"/>
    <s v="Đi chợ"/>
    <n v="95000"/>
  </r>
  <r>
    <x v="259"/>
    <x v="0"/>
    <x v="4"/>
    <s v="Đổ xăng"/>
    <n v="46000"/>
  </r>
  <r>
    <x v="260"/>
    <x v="1"/>
    <x v="5"/>
    <s v="Đi chợ"/>
    <n v="114000"/>
  </r>
  <r>
    <x v="260"/>
    <x v="0"/>
    <x v="4"/>
    <s v="Đổ xăng"/>
    <n v="54000"/>
  </r>
  <r>
    <x v="261"/>
    <x v="1"/>
    <x v="5"/>
    <s v="Đi chợ"/>
    <n v="148000"/>
  </r>
  <r>
    <x v="261"/>
    <x v="0"/>
    <x v="4"/>
    <s v="Đổ xăng"/>
    <n v="55000"/>
  </r>
  <r>
    <x v="261"/>
    <x v="1"/>
    <x v="5"/>
    <s v="Đi chợ"/>
    <n v="129000"/>
  </r>
  <r>
    <x v="262"/>
    <x v="0"/>
    <x v="1"/>
    <s v="Tiền rác"/>
    <n v="35000"/>
  </r>
  <r>
    <x v="262"/>
    <x v="0"/>
    <x v="1"/>
    <s v="Tiền điện"/>
    <n v="401000"/>
  </r>
  <r>
    <x v="262"/>
    <x v="0"/>
    <x v="1"/>
    <s v="Tiền nước"/>
    <n v="100000"/>
  </r>
  <r>
    <x v="263"/>
    <x v="0"/>
    <x v="0"/>
    <s v="Nhà ở"/>
    <n v="500000"/>
  </r>
  <r>
    <x v="263"/>
    <x v="2"/>
    <x v="3"/>
    <s v="Cà phê"/>
    <n v="63000"/>
  </r>
  <r>
    <x v="264"/>
    <x v="1"/>
    <x v="2"/>
    <s v="Mua sách kế toán doanh nghiệp"/>
    <n v="292000"/>
  </r>
  <r>
    <x v="264"/>
    <x v="0"/>
    <x v="4"/>
    <s v="Đổ xăng"/>
    <n v="49000"/>
  </r>
  <r>
    <x v="265"/>
    <x v="1"/>
    <x v="5"/>
    <s v="Đi chợ"/>
    <n v="149000"/>
  </r>
  <r>
    <x v="264"/>
    <x v="2"/>
    <x v="6"/>
    <s v="Quần mới"/>
    <n v="301000"/>
  </r>
  <r>
    <x v="266"/>
    <x v="1"/>
    <x v="5"/>
    <s v="Đi chợ"/>
    <n v="100000"/>
  </r>
  <r>
    <x v="266"/>
    <x v="0"/>
    <x v="4"/>
    <s v="Đổ xăng"/>
    <n v="47000"/>
  </r>
  <r>
    <x v="267"/>
    <x v="1"/>
    <x v="8"/>
    <s v="Sữa rửa mặt"/>
    <n v="82000"/>
  </r>
  <r>
    <x v="267"/>
    <x v="2"/>
    <x v="3"/>
    <s v="Cà phê"/>
    <n v="68000"/>
  </r>
  <r>
    <x v="267"/>
    <x v="2"/>
    <x v="9"/>
    <s v="Quỹ du lịch"/>
    <n v="500000"/>
  </r>
  <r>
    <x v="268"/>
    <x v="2"/>
    <x v="6"/>
    <s v="Mua tất"/>
    <n v="52000"/>
  </r>
  <r>
    <x v="268"/>
    <x v="3"/>
    <x v="10"/>
    <s v="Mua cổ phiếu"/>
    <n v="500000"/>
  </r>
  <r>
    <x v="269"/>
    <x v="0"/>
    <x v="4"/>
    <s v="Đổ xăng"/>
    <n v="52000"/>
  </r>
  <r>
    <x v="269"/>
    <x v="0"/>
    <x v="4"/>
    <s v="Thay dầu"/>
    <n v="98000"/>
  </r>
  <r>
    <x v="269"/>
    <x v="0"/>
    <x v="4"/>
    <s v="Rửa xe"/>
    <n v="20000"/>
  </r>
  <r>
    <x v="269"/>
    <x v="1"/>
    <x v="5"/>
    <s v="Đi chợ"/>
    <n v="95000"/>
  </r>
  <r>
    <x v="269"/>
    <x v="2"/>
    <x v="11"/>
    <s v="đi xem phim"/>
    <n v="190000"/>
  </r>
  <r>
    <x v="265"/>
    <x v="2"/>
    <x v="3"/>
    <s v="Cà phê"/>
    <n v="53000"/>
  </r>
  <r>
    <x v="270"/>
    <x v="0"/>
    <x v="4"/>
    <s v="Đổ xăng"/>
    <n v="41000"/>
  </r>
  <r>
    <x v="270"/>
    <x v="1"/>
    <x v="5"/>
    <s v="Đi chợ"/>
    <n v="121000"/>
  </r>
  <r>
    <x v="271"/>
    <x v="3"/>
    <x v="7"/>
    <s v="Gửi tiết kiệm"/>
    <n v="500000"/>
  </r>
  <r>
    <x v="271"/>
    <x v="1"/>
    <x v="8"/>
    <s v="Gội đầu"/>
    <n v="56000"/>
  </r>
  <r>
    <x v="272"/>
    <x v="2"/>
    <x v="11"/>
    <s v="Gói Netflix"/>
    <n v="269000"/>
  </r>
  <r>
    <x v="272"/>
    <x v="1"/>
    <x v="5"/>
    <s v="Đi chợ"/>
    <n v="118000"/>
  </r>
  <r>
    <x v="272"/>
    <x v="2"/>
    <x v="3"/>
    <s v="Cà phê"/>
    <n v="60000"/>
  </r>
  <r>
    <x v="273"/>
    <x v="2"/>
    <x v="6"/>
    <s v="Đồ lót"/>
    <n v="107000"/>
  </r>
  <r>
    <x v="274"/>
    <x v="4"/>
    <x v="13"/>
    <s v="Đám cưới"/>
    <n v="500000"/>
  </r>
  <r>
    <x v="275"/>
    <x v="2"/>
    <x v="3"/>
    <s v="Cà phê"/>
    <n v="58000"/>
  </r>
  <r>
    <x v="276"/>
    <x v="0"/>
    <x v="4"/>
    <s v="Đổ xăng"/>
    <n v="53000"/>
  </r>
  <r>
    <x v="276"/>
    <x v="1"/>
    <x v="2"/>
    <s v="Sách Nhà Giả Kim"/>
    <n v="111000"/>
  </r>
  <r>
    <x v="277"/>
    <x v="1"/>
    <x v="5"/>
    <s v="Đi chợ"/>
    <n v="192000"/>
  </r>
  <r>
    <x v="278"/>
    <x v="1"/>
    <x v="5"/>
    <s v="Đi chợ"/>
    <n v="133000"/>
  </r>
  <r>
    <x v="279"/>
    <x v="0"/>
    <x v="0"/>
    <s v="Nhà ở"/>
    <n v="500000"/>
  </r>
  <r>
    <x v="279"/>
    <x v="2"/>
    <x v="3"/>
    <s v="Cà phê"/>
    <n v="63000"/>
  </r>
  <r>
    <x v="280"/>
    <x v="1"/>
    <x v="5"/>
    <s v="Đi chợ"/>
    <n v="106000"/>
  </r>
  <r>
    <x v="281"/>
    <x v="0"/>
    <x v="4"/>
    <s v="Đổ xăng"/>
    <n v="44000"/>
  </r>
  <r>
    <x v="281"/>
    <x v="1"/>
    <x v="8"/>
    <s v="Kem đánh răng"/>
    <n v="62000"/>
  </r>
  <r>
    <x v="281"/>
    <x v="2"/>
    <x v="3"/>
    <s v="Cà phê"/>
    <n v="51000"/>
  </r>
  <r>
    <x v="282"/>
    <x v="1"/>
    <x v="5"/>
    <s v="Đi chợ"/>
    <n v="141000"/>
  </r>
  <r>
    <x v="283"/>
    <x v="1"/>
    <x v="5"/>
    <s v="Đi chợ"/>
    <n v="109000"/>
  </r>
  <r>
    <x v="284"/>
    <x v="1"/>
    <x v="5"/>
    <s v="Đi chợ"/>
    <n v="157000"/>
  </r>
  <r>
    <x v="284"/>
    <x v="2"/>
    <x v="6"/>
    <s v="Áo sơ mi"/>
    <n v="98000"/>
  </r>
  <r>
    <x v="284"/>
    <x v="4"/>
    <x v="12"/>
    <s v="Quà cho nguời yêu"/>
    <n v="258000"/>
  </r>
  <r>
    <x v="285"/>
    <x v="0"/>
    <x v="1"/>
    <s v="Tiền mạng internet"/>
    <n v="173000"/>
  </r>
  <r>
    <x v="285"/>
    <x v="0"/>
    <x v="4"/>
    <s v="Đổ xăng"/>
    <n v="53000"/>
  </r>
  <r>
    <x v="286"/>
    <x v="1"/>
    <x v="8"/>
    <s v="Gội đầu"/>
    <n v="77000"/>
  </r>
  <r>
    <x v="286"/>
    <x v="1"/>
    <x v="5"/>
    <s v="Đi chợ"/>
    <n v="116000"/>
  </r>
  <r>
    <x v="287"/>
    <x v="3"/>
    <x v="10"/>
    <s v="Mua cổ phiếu"/>
    <n v="500000"/>
  </r>
  <r>
    <x v="288"/>
    <x v="1"/>
    <x v="5"/>
    <s v="Đi chợ"/>
    <n v="94000"/>
  </r>
  <r>
    <x v="289"/>
    <x v="1"/>
    <x v="5"/>
    <s v="Đi chợ"/>
    <n v="102000"/>
  </r>
  <r>
    <x v="289"/>
    <x v="0"/>
    <x v="4"/>
    <s v="Đổ xăng"/>
    <n v="47000"/>
  </r>
  <r>
    <x v="290"/>
    <x v="1"/>
    <x v="5"/>
    <s v="Đi chợ"/>
    <n v="113000"/>
  </r>
  <r>
    <x v="290"/>
    <x v="0"/>
    <x v="4"/>
    <s v="Đổ xăng"/>
    <n v="51000"/>
  </r>
  <r>
    <x v="291"/>
    <x v="1"/>
    <x v="5"/>
    <s v="Đi chợ"/>
    <n v="141000"/>
  </r>
  <r>
    <x v="291"/>
    <x v="0"/>
    <x v="4"/>
    <s v="Đổ xăng"/>
    <n v="56000"/>
  </r>
  <r>
    <x v="292"/>
    <x v="0"/>
    <x v="0"/>
    <s v="Nhà ở"/>
    <n v="500000"/>
  </r>
  <r>
    <x v="293"/>
    <x v="0"/>
    <x v="0"/>
    <s v="Nhà ở"/>
    <n v="500000"/>
  </r>
  <r>
    <x v="292"/>
    <x v="0"/>
    <x v="1"/>
    <s v="Tiền rác"/>
    <n v="35000"/>
  </r>
  <r>
    <x v="294"/>
    <x v="0"/>
    <x v="1"/>
    <s v="Tiền nước"/>
    <n v="98000"/>
  </r>
  <r>
    <x v="294"/>
    <x v="1"/>
    <x v="2"/>
    <s v="Mua sách kế toán doanh nghiệp"/>
    <n v="292000"/>
  </r>
  <r>
    <x v="294"/>
    <x v="2"/>
    <x v="3"/>
    <s v="Cà phê"/>
    <n v="59000"/>
  </r>
  <r>
    <x v="295"/>
    <x v="0"/>
    <x v="1"/>
    <s v="Tiền điện"/>
    <n v="409000"/>
  </r>
  <r>
    <x v="296"/>
    <x v="0"/>
    <x v="1"/>
    <s v="Tiền mạng internet"/>
    <n v="171000"/>
  </r>
  <r>
    <x v="295"/>
    <x v="0"/>
    <x v="4"/>
    <s v="Đổ xăng"/>
    <n v="46000"/>
  </r>
  <r>
    <x v="295"/>
    <x v="1"/>
    <x v="5"/>
    <s v="Đi chợ"/>
    <n v="140000"/>
  </r>
  <r>
    <x v="297"/>
    <x v="2"/>
    <x v="6"/>
    <s v="Quần mới"/>
    <n v="271000"/>
  </r>
  <r>
    <x v="298"/>
    <x v="3"/>
    <x v="7"/>
    <s v="Gửi tiết kiệm"/>
    <n v="500000"/>
  </r>
  <r>
    <x v="298"/>
    <x v="1"/>
    <x v="5"/>
    <s v="Đi chợ"/>
    <n v="95000"/>
  </r>
  <r>
    <x v="298"/>
    <x v="0"/>
    <x v="4"/>
    <s v="Đổ xăng"/>
    <n v="43000"/>
  </r>
  <r>
    <x v="299"/>
    <x v="1"/>
    <x v="8"/>
    <s v="Sữa rửa mặt"/>
    <n v="80000"/>
  </r>
  <r>
    <x v="299"/>
    <x v="1"/>
    <x v="5"/>
    <s v="Đi chợ"/>
    <n v="102000"/>
  </r>
  <r>
    <x v="299"/>
    <x v="2"/>
    <x v="3"/>
    <s v="Cà phê"/>
    <n v="63000"/>
  </r>
  <r>
    <x v="300"/>
    <x v="2"/>
    <x v="9"/>
    <s v="Quỹ du lịch"/>
    <n v="500000"/>
  </r>
  <r>
    <x v="300"/>
    <x v="2"/>
    <x v="6"/>
    <s v="Mua tất"/>
    <n v="47000"/>
  </r>
  <r>
    <x v="301"/>
    <x v="0"/>
    <x v="4"/>
    <s v="Đổ xăng"/>
    <n v="49000"/>
  </r>
  <r>
    <x v="301"/>
    <x v="0"/>
    <x v="4"/>
    <s v="Thay dầu"/>
    <n v="94000"/>
  </r>
  <r>
    <x v="301"/>
    <x v="0"/>
    <x v="4"/>
    <s v="Rửa xe"/>
    <n v="18000"/>
  </r>
  <r>
    <x v="301"/>
    <x v="1"/>
    <x v="5"/>
    <s v="Đi chợ"/>
    <n v="94000"/>
  </r>
  <r>
    <x v="301"/>
    <x v="2"/>
    <x v="11"/>
    <s v="đi xem phim"/>
    <n v="190000"/>
  </r>
  <r>
    <x v="302"/>
    <x v="3"/>
    <x v="10"/>
    <s v="Mua cổ phiếu"/>
    <n v="500000"/>
  </r>
  <r>
    <x v="303"/>
    <x v="3"/>
    <x v="10"/>
    <s v="Mua cổ phiếu"/>
    <n v="500000"/>
  </r>
  <r>
    <x v="302"/>
    <x v="2"/>
    <x v="3"/>
    <s v="Cà phê"/>
    <n v="51000"/>
  </r>
  <r>
    <x v="304"/>
    <x v="0"/>
    <x v="4"/>
    <s v="Đổ xăng"/>
    <n v="41000"/>
  </r>
  <r>
    <x v="304"/>
    <x v="1"/>
    <x v="5"/>
    <s v="Đi chợ"/>
    <n v="113000"/>
  </r>
  <r>
    <x v="303"/>
    <x v="1"/>
    <x v="8"/>
    <s v="Gội đầu"/>
    <n v="53000"/>
  </r>
  <r>
    <x v="305"/>
    <x v="2"/>
    <x v="11"/>
    <s v="Gói Netflix"/>
    <n v="258000"/>
  </r>
  <r>
    <x v="305"/>
    <x v="1"/>
    <x v="5"/>
    <s v="Đi chợ"/>
    <n v="106000"/>
  </r>
  <r>
    <x v="305"/>
    <x v="2"/>
    <x v="3"/>
    <s v="Cà phê"/>
    <n v="61000"/>
  </r>
  <r>
    <x v="306"/>
    <x v="2"/>
    <x v="6"/>
    <s v="Đồ lót"/>
    <n v="102000"/>
  </r>
  <r>
    <x v="307"/>
    <x v="1"/>
    <x v="5"/>
    <s v="Đi chợ"/>
    <n v="155000"/>
  </r>
  <r>
    <x v="293"/>
    <x v="2"/>
    <x v="3"/>
    <s v="Cà phê"/>
    <n v="53000"/>
  </r>
  <r>
    <x v="308"/>
    <x v="0"/>
    <x v="4"/>
    <s v="Đổ xăng"/>
    <n v="49000"/>
  </r>
  <r>
    <x v="308"/>
    <x v="1"/>
    <x v="2"/>
    <s v="Sách Nhà Giả Kim"/>
    <n v="104000"/>
  </r>
  <r>
    <x v="297"/>
    <x v="1"/>
    <x v="5"/>
    <s v="Đi chợ"/>
    <n v="177000"/>
  </r>
  <r>
    <x v="309"/>
    <x v="1"/>
    <x v="5"/>
    <s v="Đi chợ"/>
    <n v="133000"/>
  </r>
  <r>
    <x v="296"/>
    <x v="2"/>
    <x v="3"/>
    <s v="Cà phê"/>
    <n v="62000"/>
  </r>
  <r>
    <x v="310"/>
    <x v="1"/>
    <x v="5"/>
    <s v="Đi chợ"/>
    <n v="100000"/>
  </r>
  <r>
    <x v="311"/>
    <x v="0"/>
    <x v="4"/>
    <s v="Đổ xăng"/>
    <n v="40000"/>
  </r>
  <r>
    <x v="311"/>
    <x v="1"/>
    <x v="8"/>
    <s v="Kem đánh răng"/>
    <n v="61000"/>
  </r>
  <r>
    <x v="311"/>
    <x v="2"/>
    <x v="3"/>
    <s v="Cà phê"/>
    <n v="50000"/>
  </r>
  <r>
    <x v="312"/>
    <x v="4"/>
    <x v="13"/>
    <s v="Đám cưới đồng nghiệp"/>
    <n v="500000"/>
  </r>
  <r>
    <x v="313"/>
    <x v="4"/>
    <x v="12"/>
    <s v="Quà tặng người yêu"/>
    <n v="3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2D052E-9A11-4C22-9543-7DD23BB6A192}" name="PivotTable1"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D9:E14" firstHeaderRow="1" firstDataRow="1" firstDataCol="1"/>
  <pivotFields count="7">
    <pivotField numFmtId="14" showAll="0">
      <items count="3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6"/>
        <item x="267"/>
        <item x="268"/>
        <item x="269"/>
        <item x="265"/>
        <item x="270"/>
        <item x="271"/>
        <item x="272"/>
        <item x="273"/>
        <item x="274"/>
        <item x="275"/>
        <item x="276"/>
        <item x="277"/>
        <item x="278"/>
        <item x="279"/>
        <item x="280"/>
        <item x="281"/>
        <item x="282"/>
        <item x="283"/>
        <item x="284"/>
        <item x="285"/>
        <item x="286"/>
        <item x="288"/>
        <item x="289"/>
        <item x="290"/>
        <item x="291"/>
        <item x="292"/>
        <item x="294"/>
        <item x="295"/>
        <item x="298"/>
        <item x="299"/>
        <item x="300"/>
        <item x="301"/>
        <item x="302"/>
        <item x="304"/>
        <item x="303"/>
        <item x="305"/>
        <item x="306"/>
        <item x="307"/>
        <item x="293"/>
        <item x="308"/>
        <item x="297"/>
        <item x="309"/>
        <item x="296"/>
        <item x="310"/>
        <item x="311"/>
        <item x="312"/>
        <item x="287"/>
        <item x="313"/>
        <item t="default"/>
      </items>
    </pivotField>
    <pivotField axis="axisRow"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 t="default"/>
      </items>
    </pivotField>
    <pivotField showAll="0">
      <items count="15">
        <item h="1" sd="0" x="0"/>
        <item sd="0" x="1"/>
        <item h="1" sd="0" x="2"/>
        <item h="1" sd="0" x="3"/>
        <item h="1" sd="0" x="4"/>
        <item h="1" sd="0" x="5"/>
        <item h="1" sd="0" x="6"/>
        <item h="1" sd="0" x="7"/>
        <item h="1" sd="0" x="8"/>
        <item h="1" sd="0" x="9"/>
        <item h="1" sd="0" x="10"/>
        <item h="1" sd="0" x="11"/>
        <item h="1" sd="0" x="12"/>
        <item h="1" sd="0" x="13"/>
        <item t="default"/>
      </items>
    </pivotField>
  </pivotFields>
  <rowFields count="1">
    <field x="1"/>
  </rowFields>
  <rowItems count="5">
    <i>
      <x v="1"/>
    </i>
    <i>
      <x/>
    </i>
    <i>
      <x v="2"/>
    </i>
    <i>
      <x v="4"/>
    </i>
    <i>
      <x v="3"/>
    </i>
  </rowItems>
  <colItems count="1">
    <i/>
  </colItems>
  <dataFields count="1">
    <dataField name="Sum of SỐ TIỀN" fld="4" baseField="0" baseItem="0" numFmtId="165"/>
  </dataFields>
  <formats count="11">
    <format dxfId="151">
      <pivotArea type="all" dataOnly="0" outline="0" fieldPosition="0"/>
    </format>
    <format dxfId="150">
      <pivotArea outline="0" collapsedLevelsAreSubtotals="1" fieldPosition="0"/>
    </format>
    <format dxfId="149">
      <pivotArea field="1" type="button" dataOnly="0" labelOnly="1" outline="0" axis="axisRow" fieldPosition="0"/>
    </format>
    <format dxfId="148">
      <pivotArea dataOnly="0" labelOnly="1" fieldPosition="0">
        <references count="1">
          <reference field="1" count="0"/>
        </references>
      </pivotArea>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field="1" type="button" dataOnly="0" labelOnly="1" outline="0" axis="axisRow" fieldPosition="0"/>
    </format>
    <format dxfId="143">
      <pivotArea dataOnly="0" labelOnly="1" fieldPosition="0">
        <references count="1">
          <reference field="1" count="0"/>
        </references>
      </pivotArea>
    </format>
    <format dxfId="142">
      <pivotArea dataOnly="0" labelOnly="1" outline="0" axis="axisValues" fieldPosition="0"/>
    </format>
    <format dxfId="141">
      <pivotArea dataOnly="0" labelOnly="1" fieldPosition="0">
        <references count="1">
          <reference field="1" count="0"/>
        </references>
      </pivotArea>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EC708B-DDD5-4455-976E-C888BA58D5CF}" name="PivotTable7" cacheId="17"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7">
  <location ref="AD2:AF151" firstHeaderRow="1" firstDataRow="1" firstDataCol="2"/>
  <pivotFields count="7">
    <pivotField compact="0" numFmtId="14" outline="0" showAll="0" defaultSubtotal="0">
      <items count="3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6"/>
        <item x="267"/>
        <item x="268"/>
        <item x="269"/>
        <item x="265"/>
        <item x="270"/>
        <item x="271"/>
        <item x="272"/>
        <item x="273"/>
        <item x="274"/>
        <item x="275"/>
        <item x="276"/>
        <item x="277"/>
        <item x="278"/>
        <item x="279"/>
        <item x="280"/>
        <item x="281"/>
        <item x="282"/>
        <item x="283"/>
        <item x="284"/>
        <item x="285"/>
        <item x="286"/>
        <item x="288"/>
        <item x="289"/>
        <item x="290"/>
        <item x="291"/>
        <item x="292"/>
        <item x="294"/>
        <item x="295"/>
        <item x="298"/>
        <item x="299"/>
        <item x="300"/>
        <item x="301"/>
        <item x="302"/>
        <item x="304"/>
        <item x="303"/>
        <item x="305"/>
        <item x="306"/>
        <item x="307"/>
        <item x="293"/>
        <item x="308"/>
        <item x="297"/>
        <item x="309"/>
        <item x="296"/>
        <item x="310"/>
        <item x="311"/>
        <item x="312"/>
        <item x="287"/>
        <item x="313"/>
      </items>
      <extLst>
        <ext xmlns:x14="http://schemas.microsoft.com/office/spreadsheetml/2009/9/main" uri="{2946ED86-A175-432a-8AC1-64E0C546D7DE}">
          <x14:pivotField fillDownLabels="1"/>
        </ext>
      </extLst>
    </pivotField>
    <pivotField compact="0" outline="0" showAll="0" sortType="descending" defaultSubtotal="0">
      <items count="5">
        <item x="1"/>
        <item x="0"/>
        <item x="2"/>
        <item x="4"/>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defaultSubtotal="0">
      <items count="14">
        <item x="5"/>
        <item x="3"/>
        <item x="10"/>
        <item x="4"/>
        <item x="9"/>
        <item x="11"/>
        <item x="13"/>
        <item x="1"/>
        <item x="2"/>
        <item x="6"/>
        <item x="0"/>
        <item x="12"/>
        <item x="8"/>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items count="368">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s>
      <extLst>
        <ext xmlns:x14="http://schemas.microsoft.com/office/spreadsheetml/2009/9/main" uri="{2946ED86-A175-432a-8AC1-64E0C546D7DE}">
          <x14:pivotField fillDownLabels="1"/>
        </ext>
      </extLst>
    </pivotField>
    <pivotField axis="axisRow"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2">
    <field x="2"/>
    <field x="6"/>
  </rowFields>
  <rowItems count="149">
    <i>
      <x/>
      <x v="1"/>
    </i>
    <i r="1">
      <x v="2"/>
    </i>
    <i r="1">
      <x v="3"/>
    </i>
    <i r="1">
      <x v="4"/>
    </i>
    <i r="1">
      <x v="5"/>
    </i>
    <i r="1">
      <x v="6"/>
    </i>
    <i r="1">
      <x v="7"/>
    </i>
    <i r="1">
      <x v="8"/>
    </i>
    <i r="1">
      <x v="9"/>
    </i>
    <i r="1">
      <x v="10"/>
    </i>
    <i r="1">
      <x v="11"/>
    </i>
    <i>
      <x v="1"/>
      <x v="1"/>
    </i>
    <i r="1">
      <x v="2"/>
    </i>
    <i r="1">
      <x v="3"/>
    </i>
    <i r="1">
      <x v="4"/>
    </i>
    <i r="1">
      <x v="5"/>
    </i>
    <i r="1">
      <x v="6"/>
    </i>
    <i r="1">
      <x v="7"/>
    </i>
    <i r="1">
      <x v="8"/>
    </i>
    <i r="1">
      <x v="9"/>
    </i>
    <i r="1">
      <x v="10"/>
    </i>
    <i r="1">
      <x v="11"/>
    </i>
    <i>
      <x v="2"/>
      <x v="1"/>
    </i>
    <i r="1">
      <x v="2"/>
    </i>
    <i r="1">
      <x v="3"/>
    </i>
    <i r="1">
      <x v="4"/>
    </i>
    <i r="1">
      <x v="5"/>
    </i>
    <i r="1">
      <x v="6"/>
    </i>
    <i r="1">
      <x v="7"/>
    </i>
    <i r="1">
      <x v="8"/>
    </i>
    <i r="1">
      <x v="9"/>
    </i>
    <i r="1">
      <x v="10"/>
    </i>
    <i r="1">
      <x v="11"/>
    </i>
    <i>
      <x v="3"/>
      <x v="1"/>
    </i>
    <i r="1">
      <x v="2"/>
    </i>
    <i r="1">
      <x v="3"/>
    </i>
    <i r="1">
      <x v="4"/>
    </i>
    <i r="1">
      <x v="5"/>
    </i>
    <i r="1">
      <x v="6"/>
    </i>
    <i r="1">
      <x v="7"/>
    </i>
    <i r="1">
      <x v="8"/>
    </i>
    <i r="1">
      <x v="9"/>
    </i>
    <i r="1">
      <x v="10"/>
    </i>
    <i r="1">
      <x v="11"/>
    </i>
    <i>
      <x v="4"/>
      <x v="1"/>
    </i>
    <i r="1">
      <x v="2"/>
    </i>
    <i r="1">
      <x v="3"/>
    </i>
    <i r="1">
      <x v="4"/>
    </i>
    <i r="1">
      <x v="5"/>
    </i>
    <i r="1">
      <x v="6"/>
    </i>
    <i r="1">
      <x v="7"/>
    </i>
    <i r="1">
      <x v="8"/>
    </i>
    <i r="1">
      <x v="9"/>
    </i>
    <i r="1">
      <x v="10"/>
    </i>
    <i r="1">
      <x v="11"/>
    </i>
    <i>
      <x v="5"/>
      <x v="1"/>
    </i>
    <i r="1">
      <x v="2"/>
    </i>
    <i r="1">
      <x v="3"/>
    </i>
    <i r="1">
      <x v="4"/>
    </i>
    <i r="1">
      <x v="5"/>
    </i>
    <i r="1">
      <x v="6"/>
    </i>
    <i r="1">
      <x v="7"/>
    </i>
    <i r="1">
      <x v="8"/>
    </i>
    <i r="1">
      <x v="9"/>
    </i>
    <i r="1">
      <x v="10"/>
    </i>
    <i r="1">
      <x v="11"/>
    </i>
    <i>
      <x v="6"/>
      <x v="2"/>
    </i>
    <i r="1">
      <x v="3"/>
    </i>
    <i r="1">
      <x v="5"/>
    </i>
    <i r="1">
      <x v="6"/>
    </i>
    <i r="1">
      <x v="7"/>
    </i>
    <i r="1">
      <x v="9"/>
    </i>
    <i r="1">
      <x v="10"/>
    </i>
    <i r="1">
      <x v="11"/>
    </i>
    <i>
      <x v="7"/>
      <x v="1"/>
    </i>
    <i r="1">
      <x v="2"/>
    </i>
    <i r="1">
      <x v="3"/>
    </i>
    <i r="1">
      <x v="4"/>
    </i>
    <i r="1">
      <x v="5"/>
    </i>
    <i r="1">
      <x v="6"/>
    </i>
    <i r="1">
      <x v="7"/>
    </i>
    <i r="1">
      <x v="8"/>
    </i>
    <i r="1">
      <x v="9"/>
    </i>
    <i r="1">
      <x v="10"/>
    </i>
    <i r="1">
      <x v="11"/>
    </i>
    <i>
      <x v="8"/>
      <x v="1"/>
    </i>
    <i r="1">
      <x v="2"/>
    </i>
    <i r="1">
      <x v="3"/>
    </i>
    <i r="1">
      <x v="4"/>
    </i>
    <i r="1">
      <x v="5"/>
    </i>
    <i r="1">
      <x v="6"/>
    </i>
    <i r="1">
      <x v="7"/>
    </i>
    <i r="1">
      <x v="8"/>
    </i>
    <i r="1">
      <x v="9"/>
    </i>
    <i r="1">
      <x v="10"/>
    </i>
    <i r="1">
      <x v="11"/>
    </i>
    <i>
      <x v="9"/>
      <x v="1"/>
    </i>
    <i r="1">
      <x v="2"/>
    </i>
    <i r="1">
      <x v="3"/>
    </i>
    <i r="1">
      <x v="4"/>
    </i>
    <i r="1">
      <x v="5"/>
    </i>
    <i r="1">
      <x v="6"/>
    </i>
    <i r="1">
      <x v="7"/>
    </i>
    <i r="1">
      <x v="8"/>
    </i>
    <i r="1">
      <x v="9"/>
    </i>
    <i r="1">
      <x v="10"/>
    </i>
    <i r="1">
      <x v="11"/>
    </i>
    <i>
      <x v="10"/>
      <x v="1"/>
    </i>
    <i r="1">
      <x v="2"/>
    </i>
    <i r="1">
      <x v="3"/>
    </i>
    <i r="1">
      <x v="4"/>
    </i>
    <i r="1">
      <x v="5"/>
    </i>
    <i r="1">
      <x v="6"/>
    </i>
    <i r="1">
      <x v="7"/>
    </i>
    <i r="1">
      <x v="8"/>
    </i>
    <i r="1">
      <x v="9"/>
    </i>
    <i r="1">
      <x v="10"/>
    </i>
    <i r="1">
      <x v="11"/>
    </i>
    <i>
      <x v="11"/>
      <x v="1"/>
    </i>
    <i r="1">
      <x v="2"/>
    </i>
    <i r="1">
      <x v="4"/>
    </i>
    <i r="1">
      <x v="5"/>
    </i>
    <i r="1">
      <x v="6"/>
    </i>
    <i r="1">
      <x v="8"/>
    </i>
    <i r="1">
      <x v="9"/>
    </i>
    <i r="1">
      <x v="10"/>
    </i>
    <i r="1">
      <x v="11"/>
    </i>
    <i>
      <x v="12"/>
      <x v="1"/>
    </i>
    <i r="1">
      <x v="2"/>
    </i>
    <i r="1">
      <x v="3"/>
    </i>
    <i r="1">
      <x v="4"/>
    </i>
    <i r="1">
      <x v="5"/>
    </i>
    <i r="1">
      <x v="6"/>
    </i>
    <i r="1">
      <x v="7"/>
    </i>
    <i r="1">
      <x v="8"/>
    </i>
    <i r="1">
      <x v="9"/>
    </i>
    <i r="1">
      <x v="10"/>
    </i>
    <i r="1">
      <x v="11"/>
    </i>
    <i>
      <x v="13"/>
      <x v="1"/>
    </i>
    <i r="1">
      <x v="2"/>
    </i>
    <i r="1">
      <x v="3"/>
    </i>
    <i r="1">
      <x v="4"/>
    </i>
    <i r="1">
      <x v="5"/>
    </i>
    <i r="1">
      <x v="6"/>
    </i>
    <i r="1">
      <x v="7"/>
    </i>
    <i r="1">
      <x v="8"/>
    </i>
    <i r="1">
      <x v="9"/>
    </i>
    <i r="1">
      <x v="10"/>
    </i>
    <i r="1">
      <x v="11"/>
    </i>
  </rowItems>
  <colItems count="1">
    <i/>
  </colItems>
  <dataFields count="1">
    <dataField name="Sum of SỐ TIỀN" fld="4" baseField="0" baseItem="0" numFmtId="165"/>
  </dataFields>
  <formats count="11">
    <format dxfId="162">
      <pivotArea type="all" dataOnly="0" outline="0" fieldPosition="0"/>
    </format>
    <format dxfId="161">
      <pivotArea outline="0" collapsedLevelsAreSubtotals="1" fieldPosition="0"/>
    </format>
    <format dxfId="160">
      <pivotArea field="1" type="button" dataOnly="0" labelOnly="1" outline="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field="1" type="button" dataOnly="0" labelOnly="1" outline="0"/>
    </format>
    <format dxfId="155">
      <pivotArea dataOnly="0" labelOnly="1" outline="0" fieldPosition="0">
        <references count="2">
          <reference field="2" count="1" selected="0">
            <x v="0"/>
          </reference>
          <reference field="6" count="1">
            <x v="3"/>
          </reference>
        </references>
      </pivotArea>
    </format>
    <format dxfId="154">
      <pivotArea field="2" type="button" dataOnly="0" labelOnly="1" outline="0" axis="axisRow" fieldPosition="0"/>
    </format>
    <format dxfId="153">
      <pivotArea field="6" type="button" dataOnly="0" labelOnly="1" outline="0" axis="axisRow" fieldPosition="1"/>
    </format>
    <format dxfId="152">
      <pivotArea dataOnly="0" labelOnly="1" outline="0" axis="axisValues"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NGÀY_CHI" xr10:uid="{1423B655-FCC7-4D7F-8846-5E9702731F7E}" sourceName="Months (NGÀY CHI)">
  <pivotTables>
    <pivotTable tabId="4" name="PivotTable1"/>
  </pivotTables>
  <data>
    <tabular pivotCacheId="177475862">
      <items count="14">
        <i x="1" s="1"/>
        <i x="2"/>
        <i x="3"/>
        <i x="4"/>
        <i x="5"/>
        <i x="6"/>
        <i x="7"/>
        <i x="8"/>
        <i x="9"/>
        <i x="10"/>
        <i x="11"/>
        <i x="12" nd="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NGÀY CHI)" xr10:uid="{4ACF83EA-D7EF-4F14-A0FC-3A567EF0A6C0}" cache="Slicer_Months__NGÀY_CHI" caption="Months (NGÀY CHI)" columnCount="12"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C7C7DF8-2D30-4416-882D-9620F13104C1}" name="Table12" displayName="Table12" ref="U15:X25" totalsRowShown="0" dataDxfId="167">
  <autoFilter ref="U15:X25" xr:uid="{8C7C7DF8-2D30-4416-882D-9620F13104C1}">
    <filterColumn colId="0" hiddenButton="1"/>
    <filterColumn colId="1" hiddenButton="1"/>
    <filterColumn colId="2" hiddenButton="1"/>
    <filterColumn colId="3" hiddenButton="1"/>
  </autoFilter>
  <tableColumns count="4">
    <tableColumn id="1" xr3:uid="{D11A8D55-1927-409C-8F59-B6D271D55AD5}" name="TOP" dataDxfId="166"/>
    <tableColumn id="2" xr3:uid="{654C05B5-26E1-4DC4-AF0B-761B25B0E1E5}" name="Khoản chi tiêu" dataDxfId="165">
      <calculatedColumnFormula>'Công thức'!V3</calculatedColumnFormula>
    </tableColumn>
    <tableColumn id="3" xr3:uid="{0488EBE7-3410-4665-BDB1-EA447567AC86}" name="Số tiền" dataDxfId="164" dataCellStyle="Comma">
      <calculatedColumnFormula>'Công thức'!W3</calculatedColumnFormula>
    </tableColumn>
    <tableColumn id="4" xr3:uid="{C424610A-E55B-4081-94D4-FB038C292E61}" name="Ngày" dataDxfId="163">
      <calculatedColumnFormula>'Công thức'!S3</calculatedColumnFormula>
    </tableColumn>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E85D33-CDC9-4443-B7D0-883C74B97DA3}" name="Table6" displayName="Table6" ref="D2:E7" totalsRowShown="0" headerRowDxfId="140" dataDxfId="139">
  <autoFilter ref="D2:E7" xr:uid="{51E85D33-CDC9-4443-B7D0-883C74B97DA3}">
    <filterColumn colId="0" hiddenButton="1"/>
    <filterColumn colId="1" hiddenButton="1"/>
  </autoFilter>
  <tableColumns count="2">
    <tableColumn id="1" xr3:uid="{B72F65FD-F8BE-4C01-8FE4-8EFD8267E402}" name="Nhóm chi tiêu" dataDxfId="138">
      <calculatedColumnFormula>D10</calculatedColumnFormula>
    </tableColumn>
    <tableColumn id="2" xr3:uid="{E84818F9-CEF5-43C9-898A-03E2496D634B}" name="Tổng tiền" dataDxfId="137">
      <calculatedColumnFormula>E10</calculatedColumnFormula>
    </tableColumn>
  </tableColumns>
  <tableStyleInfo name="thu chi"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F6CFD66-E726-40F2-8DC9-8EEFECC8DE9A}" name="Table8" displayName="Table8" ref="G2:J14" totalsRowShown="0" headerRowDxfId="136" dataDxfId="135">
  <autoFilter ref="G2:J14" xr:uid="{DF6CFD66-E726-40F2-8DC9-8EEFECC8DE9A}">
    <filterColumn colId="0" hiddenButton="1"/>
    <filterColumn colId="1" hiddenButton="1"/>
    <filterColumn colId="2" hiddenButton="1"/>
    <filterColumn colId="3" hiddenButton="1"/>
  </autoFilter>
  <tableColumns count="4">
    <tableColumn id="1" xr3:uid="{8939F198-E6B1-4BA0-A4CC-23329C02698E}" name="STT" dataDxfId="134"/>
    <tableColumn id="2" xr3:uid="{7F839B5A-6930-495A-9E41-9F4C66E0ED82}" name="Tháng" dataDxfId="133">
      <calculatedColumnFormula>DATEVALUE(Table8[[#This Row],[STT]]&amp;"/"&amp;$J$1)</calculatedColumnFormula>
    </tableColumn>
    <tableColumn id="3" xr3:uid="{88F696C2-AE9F-4591-A197-F6788D9A14AE}" name="Tổng chi tiêu" dataDxfId="132" dataCellStyle="Comma">
      <calculatedColumnFormula>SUMIFS(Table10[SỐ TIỀN],Table10[NGÀY CHI],"&gt;="&amp;Table8[[#This Row],[Tháng]],Table10[NGÀY CHI],"&lt;"&amp;H4)</calculatedColumnFormula>
    </tableColumn>
    <tableColumn id="4" xr3:uid="{7CD29E7C-012A-4BB2-9F7F-2BDC482A8044}" name="Tổng thu nhập" dataDxfId="131" dataCellStyle="Comma">
      <calculatedColumnFormula>IF(Table8[[#This Row],[Tổng chi tiêu]]&lt;&gt;0,SUMIFS(Table103[SỐ TIỀN],Table103[NGÀY],"&gt;="&amp;Table8[[#This Row],[Tháng]],Table103[NGÀY],"&lt;"&amp;H4),NA())</calculatedColumnFormula>
    </tableColumn>
  </tableColumns>
  <tableStyleInfo name="thu chi"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2DE1E08-B8BF-43F7-A22A-1649A27B0380}" name="Table13" displayName="Table13" ref="Y2:AB33" totalsRowShown="0" headerRowDxfId="130" headerRowBorderDxfId="129" tableBorderDxfId="128">
  <autoFilter ref="Y2:AB33" xr:uid="{82DE1E08-B8BF-43F7-A22A-1649A27B0380}">
    <filterColumn colId="0" hiddenButton="1"/>
    <filterColumn colId="1" hiddenButton="1"/>
    <filterColumn colId="2" hiddenButton="1"/>
    <filterColumn colId="3" hiddenButton="1"/>
  </autoFilter>
  <tableColumns count="4">
    <tableColumn id="1" xr3:uid="{A7ED9A09-69DF-4122-A7F5-769E2D95CB13}" name="Tháng này" dataDxfId="127"/>
    <tableColumn id="2" xr3:uid="{6457C6DE-A2F8-47BF-AA23-31D74F8E831C}" name="Tháng trước" dataDxfId="126"/>
    <tableColumn id="3" xr3:uid="{335FFB69-5F6C-4944-A494-564118497F8A}" name="Chi tiêu tháng này" dataDxfId="125" dataCellStyle="Comma">
      <calculatedColumnFormula>IF(Table13[[#This Row],[Tháng này]]&lt;=$A$4,SUMIFS(Table10[SỐ TIỀN],Table10[NGÀY CHI],Table13[[#This Row],[Tháng này]]),NA())</calculatedColumnFormula>
    </tableColumn>
    <tableColumn id="4" xr3:uid="{F9A0CE13-58F3-4FF0-8F29-44F0F54450C7}" name="Chi tiêu tháng trước" dataDxfId="124" dataCellStyle="Comma">
      <calculatedColumnFormula>SUMIFS(Table10[SỐ TIỀN],Table10[NGÀY CHI],Table13[[#This Row],[Tháng trước]])</calculatedColumnFormula>
    </tableColumn>
  </tableColumns>
  <tableStyleInfo name="thu chi"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EBEC37D-A484-41EF-B0EF-A7E32CD00D10}" name="Table10" displayName="Table10" ref="C5:G621" totalsRowShown="0" headerRowDxfId="123" dataDxfId="122">
  <autoFilter ref="C5:G621" xr:uid="{6EBEC37D-A484-41EF-B0EF-A7E32CD00D10}"/>
  <sortState xmlns:xlrd2="http://schemas.microsoft.com/office/spreadsheetml/2017/richdata2" ref="C457:G515">
    <sortCondition ref="C5:C621"/>
  </sortState>
  <tableColumns count="5">
    <tableColumn id="2" xr3:uid="{FA293ABA-832D-464E-BB0A-9D80620D1898}" name="NGÀY CHI" dataDxfId="121"/>
    <tableColumn id="3" xr3:uid="{CD07E0CB-179C-43CF-B4BD-622D015CF32C}" name="NHÓM CHI TIÊU" dataDxfId="120"/>
    <tableColumn id="4" xr3:uid="{8490CD41-6D6E-4786-8641-92693CEED317}" name="LOẠI CHI TIÊU" dataDxfId="119"/>
    <tableColumn id="5" xr3:uid="{834CB367-20B2-4F1E-BCB8-75F0FAA3E408}" name="CHI TIẾT" dataDxfId="118"/>
    <tableColumn id="6" xr3:uid="{C0280126-EFC6-4015-AC40-4DBCF881086E}" name="SỐ TIỀN" dataDxfId="117" dataCellStyle="Comma"/>
  </tableColumns>
  <tableStyleInfo name="thu chi"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684943-3449-4186-BF36-9F425CFEC4CC}" name="Table103" displayName="Table103" ref="C5:F27" totalsRowShown="0" headerRowDxfId="116" dataDxfId="115">
  <autoFilter ref="C5:F27" xr:uid="{6EBEC37D-A484-41EF-B0EF-A7E32CD00D10}">
    <filterColumn colId="0" hiddenButton="1"/>
    <filterColumn colId="1" hiddenButton="1"/>
    <filterColumn colId="2" hiddenButton="1"/>
    <filterColumn colId="3" hiddenButton="1"/>
  </autoFilter>
  <sortState xmlns:xlrd2="http://schemas.microsoft.com/office/spreadsheetml/2017/richdata2" ref="C6:F11">
    <sortCondition ref="C5:C11"/>
  </sortState>
  <tableColumns count="4">
    <tableColumn id="2" xr3:uid="{1285D55B-E550-4B95-A4C8-2A336B03A5B8}" name="NGÀY" dataDxfId="114"/>
    <tableColumn id="3" xr3:uid="{EEC3E853-FE8E-46F0-95D3-EC2B06269FB8}" name="LOẠI THU NHẬP" dataDxfId="113"/>
    <tableColumn id="5" xr3:uid="{CDD55047-7470-43D3-809C-4B339FF85E89}" name="CHI TIẾT" dataDxfId="112"/>
    <tableColumn id="6" xr3:uid="{D85A6486-8349-41E6-BC5C-41D05D21C00F}" name="SỐ TIỀN" dataDxfId="111" dataCellStyle="Comma"/>
  </tableColumns>
  <tableStyleInfo name="thu chi"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FC50C9-C6A5-41D1-BF66-9F47EF2B5F68}" name="Table1" displayName="Table1" ref="B2:C13" totalsRowCount="1" headerRowDxfId="110" dataDxfId="109" totalsRowDxfId="108">
  <autoFilter ref="B2:C12" xr:uid="{58FC50C9-C6A5-41D1-BF66-9F47EF2B5F68}">
    <filterColumn colId="0" hiddenButton="1"/>
    <filterColumn colId="1" hiddenButton="1"/>
  </autoFilter>
  <tableColumns count="2">
    <tableColumn id="1" xr3:uid="{E6B66EF9-72F4-438E-8B56-90624ACFA8CF}" name="Loại chi tiêu" totalsRowLabel="Tổng" dataDxfId="107" totalsRowDxfId="106"/>
    <tableColumn id="2" xr3:uid="{73A5D155-8829-4FDF-9EF5-7708B5FA3CA2}" name="Định mức" totalsRowFunction="custom" dataDxfId="105" totalsRowDxfId="104">
      <totalsRowFormula>SUBTOTAL(9,Table1[Định mức])</totalsRowFormula>
    </tableColumn>
  </tableColumns>
  <tableStyleInfo name="Dinh muc"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2D4A61-5C69-41AD-B8DC-A92FAFB08CF0}" name="Table14" displayName="Table14" ref="E2:F13" totalsRowCount="1" headerRowDxfId="103" dataDxfId="102" totalsRowDxfId="101">
  <autoFilter ref="E2:F12" xr:uid="{732D4A61-5C69-41AD-B8DC-A92FAFB08CF0}">
    <filterColumn colId="0" hiddenButton="1"/>
    <filterColumn colId="1" hiddenButton="1"/>
  </autoFilter>
  <tableColumns count="2">
    <tableColumn id="1" xr3:uid="{121B79EC-31FE-4F13-AA5A-2B8E986862F2}" name="Loại chi tiêu" totalsRowLabel="Tổng" dataDxfId="100" totalsRowDxfId="99"/>
    <tableColumn id="2" xr3:uid="{192B53E3-A826-487E-A143-A912232F7AC5}" name="Định mức" totalsRowFunction="custom" dataDxfId="98" totalsRowDxfId="97">
      <totalsRowFormula>SUBTOTAL(9,Table14[Định mức])</totalsRowFormula>
    </tableColumn>
  </tableColumns>
  <tableStyleInfo name="Dinh muc"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CFDA30-EE13-4C61-A1C4-4233BCF574A2}" name="Table16" displayName="Table16" ref="H2:I13" totalsRowCount="1" headerRowDxfId="96" dataDxfId="95" totalsRowDxfId="94">
  <autoFilter ref="H2:I12" xr:uid="{C6CFDA30-EE13-4C61-A1C4-4233BCF574A2}">
    <filterColumn colId="0" hiddenButton="1"/>
    <filterColumn colId="1" hiddenButton="1"/>
  </autoFilter>
  <tableColumns count="2">
    <tableColumn id="1" xr3:uid="{3CB14BA0-C367-42E9-9545-55F4837E4851}" name="Loại chi tiêu" totalsRowLabel="Tổng" dataDxfId="93" totalsRowDxfId="92"/>
    <tableColumn id="2" xr3:uid="{FE504251-68F7-4C69-B015-3CAACD6A2A77}" name="Định mức" totalsRowFunction="custom" dataDxfId="91" totalsRowDxfId="90">
      <totalsRowFormula>SUBTOTAL(9,Table16[Định mức])</totalsRowFormula>
    </tableColumn>
  </tableColumns>
  <tableStyleInfo name="Dinh muc"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FADFF55-01F1-4CE8-9E83-51BCD0F4AFE4}" name="Table18" displayName="Table18" ref="K2:L13" totalsRowCount="1" headerRowDxfId="89" dataDxfId="88" totalsRowDxfId="87">
  <autoFilter ref="K2:L12" xr:uid="{9FADFF55-01F1-4CE8-9E83-51BCD0F4AFE4}">
    <filterColumn colId="0" hiddenButton="1"/>
    <filterColumn colId="1" hiddenButton="1"/>
  </autoFilter>
  <tableColumns count="2">
    <tableColumn id="1" xr3:uid="{33DF758F-2B44-4857-9732-1AD697DCC329}" name="Loại chi tiêu" totalsRowLabel="Tổng" dataDxfId="86" totalsRowDxfId="85"/>
    <tableColumn id="2" xr3:uid="{2118DAFD-D30E-4C01-916B-387061C5972A}" name="Định mức" totalsRowFunction="custom" dataDxfId="84" totalsRowDxfId="83">
      <totalsRowFormula>SUBTOTAL(9,Table18[Định mức])</totalsRowFormula>
    </tableColumn>
  </tableColumns>
  <tableStyleInfo name="Dinh muc"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253F99-C384-4BEC-B350-DAE146A75ED5}" name="Table110" displayName="Table110" ref="N2:O13" totalsRowCount="1" headerRowDxfId="82" dataDxfId="81" totalsRowDxfId="80">
  <autoFilter ref="N2:O12" xr:uid="{64253F99-C384-4BEC-B350-DAE146A75ED5}">
    <filterColumn colId="0" hiddenButton="1"/>
    <filterColumn colId="1" hiddenButton="1"/>
  </autoFilter>
  <tableColumns count="2">
    <tableColumn id="1" xr3:uid="{B2F9FC1C-B644-48CD-9E51-F276FD1FD0D8}" name="Loại chi tiêu" totalsRowLabel="Tổng" dataDxfId="79" totalsRowDxfId="78"/>
    <tableColumn id="2" xr3:uid="{0AA37845-BCA6-4732-8D81-95C596084CA4}" name="Định mức" totalsRowFunction="custom" dataDxfId="77" totalsRowDxfId="76">
      <totalsRowFormula>SUBTOTAL(9,Table110[Định mức])</totalsRowFormula>
    </tableColumn>
  </tableColumns>
  <tableStyleInfo name="Dinh muc"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169FE0A-B799-4C86-BBE0-E427D6ECB7A4}" name="Table11" displayName="Table11" ref="B2:E10" totalsRowShown="0" headerRowDxfId="75" dataDxfId="74">
  <autoFilter ref="B2:E10" xr:uid="{D169FE0A-B799-4C86-BBE0-E427D6ECB7A4}">
    <filterColumn colId="0" hiddenButton="1"/>
    <filterColumn colId="1" hiddenButton="1"/>
    <filterColumn colId="2" hiddenButton="1"/>
    <filterColumn colId="3" hiddenButton="1"/>
  </autoFilter>
  <tableColumns count="4">
    <tableColumn id="1" xr3:uid="{572EA880-400B-488B-8F71-B070CDE8B323}" name="Hàm xử lý ngày tháng" dataDxfId="73"/>
    <tableColumn id="2" xr3:uid="{76DC2E66-0E57-4533-B426-BE8AFE2E14D1}" name="Hàm xử lý mảng" dataDxfId="72"/>
    <tableColumn id="3" xr3:uid="{2B333718-1B6B-4CFF-99CF-A45F220898E8}" name="Hàm thông dụng" dataDxfId="71"/>
    <tableColumn id="4" xr3:uid="{12358148-7A36-4442-8EED-99FF171BD4D8}" name="Công cụ" dataDxfId="70"/>
  </tableColumns>
  <tableStyleInfo name="thu chi"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1.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97507-281D-4713-8EDF-291BF2FB1461}">
  <dimension ref="U10:X25"/>
  <sheetViews>
    <sheetView showGridLines="0" tabSelected="1" zoomScale="85" zoomScaleNormal="85" workbookViewId="0">
      <selection activeCell="J28" sqref="J28"/>
    </sheetView>
  </sheetViews>
  <sheetFormatPr defaultColWidth="9" defaultRowHeight="22.5" customHeight="1" x14ac:dyDescent="0.25"/>
  <cols>
    <col min="1" max="20" width="9" style="51"/>
    <col min="21" max="21" width="6.5" style="51" customWidth="1"/>
    <col min="22" max="22" width="25.59765625" style="51" customWidth="1"/>
    <col min="23" max="24" width="9.8984375" style="120" customWidth="1"/>
    <col min="25" max="16384" width="9" style="51"/>
  </cols>
  <sheetData>
    <row r="10" spans="21:24" ht="22.5" customHeight="1" x14ac:dyDescent="0.25">
      <c r="V10" s="122"/>
    </row>
    <row r="11" spans="21:24" ht="22.5" customHeight="1" x14ac:dyDescent="0.25">
      <c r="V11" s="123"/>
    </row>
    <row r="14" spans="21:24" ht="21.75" customHeight="1" x14ac:dyDescent="0.25">
      <c r="V14" s="127" t="s">
        <v>173</v>
      </c>
      <c r="W14" s="129" t="s">
        <v>141</v>
      </c>
      <c r="X14" s="130"/>
    </row>
    <row r="15" spans="21:24" ht="21.75" customHeight="1" x14ac:dyDescent="0.25">
      <c r="U15" s="121" t="s">
        <v>172</v>
      </c>
      <c r="V15" s="121" t="s">
        <v>169</v>
      </c>
      <c r="W15" s="124" t="s">
        <v>170</v>
      </c>
      <c r="X15" s="124" t="s">
        <v>171</v>
      </c>
    </row>
    <row r="16" spans="21:24" ht="21.75" customHeight="1" x14ac:dyDescent="0.25">
      <c r="U16" s="54">
        <v>1</v>
      </c>
      <c r="V16" s="55" t="str">
        <f>'Công thức'!V3</f>
        <v>Nhà ở</v>
      </c>
      <c r="W16" s="125">
        <f>'Công thức'!W3</f>
        <v>500000</v>
      </c>
      <c r="X16" s="126">
        <f>'Công thức'!S3</f>
        <v>45962</v>
      </c>
    </row>
    <row r="17" spans="21:24" ht="21.75" customHeight="1" x14ac:dyDescent="0.25">
      <c r="U17" s="54">
        <v>2</v>
      </c>
      <c r="V17" s="55" t="str">
        <f>'Công thức'!V4</f>
        <v>Nhà ở</v>
      </c>
      <c r="W17" s="125">
        <f>'Công thức'!W4</f>
        <v>500000</v>
      </c>
      <c r="X17" s="126">
        <f>'Công thức'!S4</f>
        <v>45975</v>
      </c>
    </row>
    <row r="18" spans="21:24" ht="21.75" customHeight="1" x14ac:dyDescent="0.25">
      <c r="U18" s="54">
        <v>3</v>
      </c>
      <c r="V18" s="55" t="str">
        <f>'Công thức'!V5</f>
        <v>Gửi tiết kiệm</v>
      </c>
      <c r="W18" s="125">
        <f>'Công thức'!W5</f>
        <v>500000</v>
      </c>
      <c r="X18" s="126">
        <f>'Công thức'!S5</f>
        <v>45965</v>
      </c>
    </row>
    <row r="19" spans="21:24" ht="21.75" customHeight="1" x14ac:dyDescent="0.25">
      <c r="U19" s="54">
        <v>4</v>
      </c>
      <c r="V19" s="55" t="str">
        <f>'Công thức'!V6</f>
        <v>Quỹ du lịch</v>
      </c>
      <c r="W19" s="125">
        <f>'Công thức'!W6</f>
        <v>500000</v>
      </c>
      <c r="X19" s="126">
        <f>'Công thức'!S6</f>
        <v>45967</v>
      </c>
    </row>
    <row r="20" spans="21:24" ht="21.75" customHeight="1" x14ac:dyDescent="0.25">
      <c r="U20" s="54">
        <v>5</v>
      </c>
      <c r="V20" s="55" t="str">
        <f>'Công thức'!V7</f>
        <v>Mua cổ phiếu</v>
      </c>
      <c r="W20" s="125">
        <f>'Công thức'!W7</f>
        <v>500000</v>
      </c>
      <c r="X20" s="126">
        <f>'Công thức'!S7</f>
        <v>45969</v>
      </c>
    </row>
    <row r="21" spans="21:24" ht="21.75" customHeight="1" x14ac:dyDescent="0.25">
      <c r="U21" s="54">
        <v>6</v>
      </c>
      <c r="V21" s="55" t="str">
        <f>'Công thức'!V8</f>
        <v>Mua cổ phiếu</v>
      </c>
      <c r="W21" s="125">
        <f>'Công thức'!W8</f>
        <v>500000</v>
      </c>
      <c r="X21" s="126">
        <f>'Công thức'!S8</f>
        <v>45971</v>
      </c>
    </row>
    <row r="22" spans="21:24" ht="21.75" customHeight="1" x14ac:dyDescent="0.25">
      <c r="U22" s="54">
        <v>7</v>
      </c>
      <c r="V22" s="55" t="str">
        <f>'Công thức'!V9</f>
        <v>Đám cưới đồng nghiệp</v>
      </c>
      <c r="W22" s="125">
        <f>'Công thức'!W9</f>
        <v>500000</v>
      </c>
      <c r="X22" s="126">
        <f>'Công thức'!S9</f>
        <v>45982</v>
      </c>
    </row>
    <row r="23" spans="21:24" ht="21.75" customHeight="1" x14ac:dyDescent="0.25">
      <c r="U23" s="54">
        <v>8</v>
      </c>
      <c r="V23" s="55" t="str">
        <f>'Công thức'!V10</f>
        <v>Tiền điện</v>
      </c>
      <c r="W23" s="125">
        <f>'Công thức'!W10</f>
        <v>409000</v>
      </c>
      <c r="X23" s="126">
        <f>'Công thức'!S10</f>
        <v>45964</v>
      </c>
    </row>
    <row r="24" spans="21:24" ht="21.75" customHeight="1" x14ac:dyDescent="0.25">
      <c r="U24" s="54">
        <v>9</v>
      </c>
      <c r="V24" s="55" t="str">
        <f>'Công thức'!V11</f>
        <v>Quà tặng người yêu</v>
      </c>
      <c r="W24" s="125">
        <f>'Công thức'!W11</f>
        <v>300000</v>
      </c>
      <c r="X24" s="126">
        <f>'Công thức'!S11</f>
        <v>45983</v>
      </c>
    </row>
    <row r="25" spans="21:24" ht="21.75" customHeight="1" x14ac:dyDescent="0.25">
      <c r="U25" s="54">
        <v>10</v>
      </c>
      <c r="V25" s="55" t="str">
        <f>'Công thức'!V12</f>
        <v>Mua sách kế toán doanh nghiệp</v>
      </c>
      <c r="W25" s="125">
        <f>'Công thức'!W12</f>
        <v>292000</v>
      </c>
      <c r="X25" s="126">
        <f>'Công thức'!S12</f>
        <v>45963</v>
      </c>
    </row>
  </sheetData>
  <mergeCells count="1">
    <mergeCell ref="W14:X14"/>
  </mergeCell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5AAA688-D538-40E8-8465-3AE473DD7122}">
          <x14:formula1>
            <xm:f>'Công thức'!$L$3:$L$8</xm:f>
          </x14:formula1>
          <xm:sqref>W14:X14</xm:sqref>
        </x14:dataValidation>
      </x14:dataValidation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3C8A9-05ED-43D9-A017-F281A70A1AA5}">
  <dimension ref="A1:AN300"/>
  <sheetViews>
    <sheetView showGridLines="0" topLeftCell="A4" zoomScale="85" zoomScaleNormal="85" workbookViewId="0">
      <selection activeCell="B9" sqref="B9"/>
    </sheetView>
  </sheetViews>
  <sheetFormatPr defaultColWidth="14.19921875" defaultRowHeight="24" customHeight="1" x14ac:dyDescent="0.25"/>
  <cols>
    <col min="1" max="2" width="14.19921875" style="66"/>
    <col min="3" max="3" width="4.69921875" style="66" customWidth="1"/>
    <col min="4" max="4" width="16.19921875" style="66" bestFit="1" customWidth="1"/>
    <col min="5" max="5" width="14.8984375" style="66" bestFit="1" customWidth="1"/>
    <col min="6" max="6" width="4.69921875" style="66" customWidth="1"/>
    <col min="7" max="7" width="7.19921875" style="71" customWidth="1"/>
    <col min="8" max="8" width="11.09765625" style="66" customWidth="1"/>
    <col min="9" max="9" width="14.3984375" style="66" customWidth="1"/>
    <col min="10" max="10" width="15.59765625" style="66" customWidth="1"/>
    <col min="11" max="11" width="4.69921875" style="66" customWidth="1"/>
    <col min="12" max="12" width="21.5" style="66" bestFit="1" customWidth="1"/>
    <col min="13" max="13" width="20.5" style="66" bestFit="1" customWidth="1"/>
    <col min="14" max="14" width="15.19921875" style="66" bestFit="1" customWidth="1"/>
    <col min="15" max="17" width="14.19921875" style="66"/>
    <col min="18" max="18" width="4.69921875" style="66" customWidth="1"/>
    <col min="20" max="20" width="18" customWidth="1"/>
    <col min="21" max="21" width="16.5" customWidth="1"/>
    <col min="23" max="23" width="12.09765625" style="97" customWidth="1"/>
    <col min="24" max="24" width="4.69921875" style="66" customWidth="1"/>
    <col min="25" max="26" width="13.19921875" style="98" customWidth="1"/>
    <col min="27" max="27" width="20.5" style="66" customWidth="1"/>
    <col min="28" max="28" width="20.69921875" style="66" customWidth="1"/>
    <col min="29" max="29" width="4.69921875" style="66" customWidth="1"/>
    <col min="30" max="30" width="14.19921875" style="66"/>
    <col min="31" max="31" width="22.09765625" style="66" bestFit="1" customWidth="1"/>
    <col min="32" max="32" width="14.8984375" style="66" bestFit="1" customWidth="1"/>
    <col min="33" max="33" width="14.19921875" style="74"/>
    <col min="34" max="34" width="14.19921875" style="66"/>
    <col min="35" max="35" width="4.69921875" style="66" customWidth="1"/>
    <col min="36" max="36" width="18.5" style="66" customWidth="1"/>
    <col min="37" max="37" width="9.5" style="109" customWidth="1"/>
    <col min="38" max="16384" width="14.19921875" style="66"/>
  </cols>
  <sheetData>
    <row r="1" spans="1:40" ht="24" customHeight="1" x14ac:dyDescent="0.25">
      <c r="A1" s="67" t="s">
        <v>138</v>
      </c>
      <c r="D1" s="67" t="s">
        <v>136</v>
      </c>
      <c r="G1" s="68" t="s">
        <v>108</v>
      </c>
      <c r="I1" s="69"/>
      <c r="J1" s="77">
        <f>YEAR(MAX(Table10[NGÀY CHI]))</f>
        <v>2025</v>
      </c>
      <c r="L1" s="67" t="s">
        <v>137</v>
      </c>
      <c r="S1" s="96" t="s">
        <v>143</v>
      </c>
      <c r="W1" s="102" t="str">
        <f>Dashboard!W14</f>
        <v>Tất cả</v>
      </c>
      <c r="Y1" s="116" t="s">
        <v>164</v>
      </c>
      <c r="AD1" s="67" t="s">
        <v>165</v>
      </c>
      <c r="AJ1" s="67" t="s">
        <v>166</v>
      </c>
    </row>
    <row r="2" spans="1:40" ht="24" customHeight="1" x14ac:dyDescent="0.25">
      <c r="A2" s="60" t="s">
        <v>132</v>
      </c>
      <c r="B2" s="61" t="s">
        <v>133</v>
      </c>
      <c r="D2" s="75" t="s">
        <v>102</v>
      </c>
      <c r="E2" s="76" t="s">
        <v>103</v>
      </c>
      <c r="G2" s="75" t="s">
        <v>107</v>
      </c>
      <c r="H2" s="75" t="s">
        <v>104</v>
      </c>
      <c r="I2" s="75" t="s">
        <v>106</v>
      </c>
      <c r="J2" s="75" t="s">
        <v>105</v>
      </c>
      <c r="L2" s="89" t="s">
        <v>102</v>
      </c>
      <c r="M2" s="89" t="s">
        <v>130</v>
      </c>
      <c r="N2" s="89" t="s">
        <v>131</v>
      </c>
      <c r="O2" s="89" t="s">
        <v>135</v>
      </c>
      <c r="P2" s="89" t="s">
        <v>1</v>
      </c>
      <c r="Q2" s="89" t="s">
        <v>168</v>
      </c>
      <c r="S2" s="90" t="s">
        <v>22</v>
      </c>
      <c r="T2" s="89" t="s">
        <v>23</v>
      </c>
      <c r="U2" s="89" t="s">
        <v>24</v>
      </c>
      <c r="V2" s="89" t="s">
        <v>25</v>
      </c>
      <c r="W2" s="91" t="s">
        <v>26</v>
      </c>
      <c r="Y2" s="99" t="s">
        <v>144</v>
      </c>
      <c r="Z2" s="100" t="s">
        <v>145</v>
      </c>
      <c r="AA2" s="100" t="s">
        <v>147</v>
      </c>
      <c r="AB2" s="100" t="s">
        <v>148</v>
      </c>
      <c r="AD2" s="59" t="s">
        <v>24</v>
      </c>
      <c r="AE2" s="59" t="s">
        <v>151</v>
      </c>
      <c r="AF2" s="59" t="s">
        <v>83</v>
      </c>
      <c r="AG2" s="89" t="s">
        <v>1</v>
      </c>
      <c r="AH2" s="89" t="s">
        <v>135</v>
      </c>
      <c r="AJ2" s="89" t="s">
        <v>0</v>
      </c>
      <c r="AK2" s="89" t="s">
        <v>104</v>
      </c>
      <c r="AL2" s="89" t="s">
        <v>146</v>
      </c>
      <c r="AM2" s="89" t="s">
        <v>1</v>
      </c>
      <c r="AN2" s="89" t="s">
        <v>163</v>
      </c>
    </row>
    <row r="3" spans="1:40" ht="24" customHeight="1" x14ac:dyDescent="0.25">
      <c r="A3" s="62">
        <f>DATE(YEAR(A4),MONTH(A4),1)</f>
        <v>45962</v>
      </c>
      <c r="B3" s="63">
        <f>DATE(YEAR(A3),MONTH(A3)-1,1)</f>
        <v>45931</v>
      </c>
      <c r="D3" s="81" t="str">
        <f t="shared" ref="D3:E7" si="0">D10</f>
        <v>Chi phí thiết yếu</v>
      </c>
      <c r="E3" s="73">
        <f t="shared" si="0"/>
        <v>2900000</v>
      </c>
      <c r="G3" s="71">
        <v>1</v>
      </c>
      <c r="H3" s="80">
        <f>DATEVALUE(Table8[[#This Row],[STT]]&amp;"/"&amp;$J$1)</f>
        <v>45658</v>
      </c>
      <c r="I3" s="74">
        <f>SUMIFS(Table10[SỐ TIỀN],Table10[NGÀY CHI],"&gt;="&amp;Table8[[#This Row],[Tháng]],Table10[NGÀY CHI],"&lt;"&amp;H4)</f>
        <v>8934000</v>
      </c>
      <c r="J3" s="74">
        <f>IF(Table8[[#This Row],[Tổng chi tiêu]]&lt;&gt;0,SUMIFS(Table103[SỐ TIỀN],Table103[NGÀY],"&gt;="&amp;Table8[[#This Row],[Tháng]],Table103[NGÀY],"&lt;"&amp;H4),NA())</f>
        <v>9900000</v>
      </c>
      <c r="L3" s="105" t="s">
        <v>141</v>
      </c>
      <c r="M3" s="103">
        <f>SUM(M4:M8)</f>
        <v>10000000</v>
      </c>
      <c r="N3" s="103">
        <f>SUMIFS(Table10[SỐ TIỀN],Table10[NGÀY CHI],"&gt;="&amp;$A$3)</f>
        <v>7965000</v>
      </c>
      <c r="O3" s="103">
        <f t="shared" ref="O3:O8" si="1">M3-N3</f>
        <v>2035000</v>
      </c>
      <c r="P3" s="117">
        <v>1</v>
      </c>
      <c r="Q3" s="117">
        <f>N3/M3</f>
        <v>0.79649999999999999</v>
      </c>
      <c r="S3" s="58" cm="1">
        <f t="array" ref="S3:W12">_xlfn.TAKE(_xlfn.SORTBY(_xlfn.ANCHORARRAY(S16),INDEX(_xlfn.ANCHORARRAY(S16),,5),-1),10)</f>
        <v>45962</v>
      </c>
      <c r="T3" s="66" t="str">
        <v>Chi phí thiết yếu</v>
      </c>
      <c r="U3" s="66" t="str">
        <v>Nhà ở</v>
      </c>
      <c r="V3" s="66" t="str">
        <v>Nhà ở</v>
      </c>
      <c r="W3" s="92">
        <v>500000</v>
      </c>
      <c r="Y3" s="98">
        <f>A3</f>
        <v>45962</v>
      </c>
      <c r="Z3" s="98">
        <f>B3</f>
        <v>45931</v>
      </c>
      <c r="AA3" s="101">
        <f>IF(Table13[[#This Row],[Tháng này]]&lt;=$A$4,SUMIFS(Table10[SỐ TIỀN],Table10[NGÀY CHI],Table13[[#This Row],[Tháng này]]),NA())</f>
        <v>535000</v>
      </c>
      <c r="AB3" s="74">
        <f>SUMIFS(Table10[SỐ TIỀN],Table10[NGÀY CHI],Table13[[#This Row],[Tháng trước]])</f>
        <v>536000</v>
      </c>
      <c r="AD3" s="66" t="s">
        <v>4</v>
      </c>
      <c r="AE3" s="66" t="s">
        <v>152</v>
      </c>
      <c r="AF3" s="72">
        <v>1905000</v>
      </c>
      <c r="AG3" s="74">
        <f>IFERROR(VLOOKUP(AD3,_xlfn.VSTACK(Table1[],Table14[],Table16[],Table18[],Table110[]),2,0),0)</f>
        <v>2000000</v>
      </c>
      <c r="AH3" s="108">
        <f>AG3-AF3</f>
        <v>95000</v>
      </c>
      <c r="AJ3" s="78" t="str" cm="1">
        <f t="array" ref="AJ3:AN7">_xlfn.TAKE(_xlfn.SORTBY(AD3:AH500,AH3:AH500,-1),5)</f>
        <v>Ăn uống</v>
      </c>
      <c r="AK3" s="112" t="str">
        <v>Nov</v>
      </c>
      <c r="AL3" s="114">
        <v>1215000</v>
      </c>
      <c r="AM3" s="114">
        <v>2000000</v>
      </c>
      <c r="AN3" s="110">
        <v>785000</v>
      </c>
    </row>
    <row r="4" spans="1:40" ht="24" customHeight="1" x14ac:dyDescent="0.25">
      <c r="A4" s="64">
        <f>MAX(Table10[NGÀY CHI])</f>
        <v>45983</v>
      </c>
      <c r="B4" s="65">
        <f>EOMONTH(B3,0)</f>
        <v>45961</v>
      </c>
      <c r="D4" s="81" t="str">
        <f t="shared" si="0"/>
        <v>Chi phí cá nhân</v>
      </c>
      <c r="E4" s="73">
        <f t="shared" si="0"/>
        <v>2619000</v>
      </c>
      <c r="G4" s="71">
        <v>2</v>
      </c>
      <c r="H4" s="80">
        <f>DATEVALUE(Table8[[#This Row],[STT]]&amp;"/"&amp;$J$1)</f>
        <v>45689</v>
      </c>
      <c r="I4" s="74">
        <f>SUMIFS(Table10[SỐ TIỀN],Table10[NGÀY CHI],"&gt;="&amp;Table8[[#This Row],[Tháng]],Table10[NGÀY CHI],"&lt;"&amp;H5)</f>
        <v>9536000</v>
      </c>
      <c r="J4" s="74">
        <f>IF(Table8[[#This Row],[Tổng chi tiêu]]&lt;&gt;0,SUMIFS(Table103[SỐ TIỀN],Table103[NGÀY],"&gt;="&amp;Table8[[#This Row],[Tháng]],Table103[NGÀY],"&lt;"&amp;H5),NA())</f>
        <v>11100000</v>
      </c>
      <c r="L4" s="106" t="str" cm="1">
        <f t="array" ref="L4:L8">_xlfn.UNIQUE(_xlfn.ANCHORARRAY('Định mức'!E31))</f>
        <v>Chi phí thiết yếu</v>
      </c>
      <c r="M4" s="104">
        <f>Table1[[#Totals],[Định mức]]</f>
        <v>3000000</v>
      </c>
      <c r="N4" s="104">
        <f>VLOOKUP(L4,Table6[],2,0)</f>
        <v>2900000</v>
      </c>
      <c r="O4" s="104">
        <f t="shared" si="1"/>
        <v>100000</v>
      </c>
      <c r="P4" s="118">
        <v>1</v>
      </c>
      <c r="Q4" s="118">
        <f t="shared" ref="Q4:Q8" si="2">N4/M4</f>
        <v>0.96666666666666667</v>
      </c>
      <c r="S4" s="93">
        <v>45975</v>
      </c>
      <c r="T4" s="94" t="str">
        <v>Chi phí thiết yếu</v>
      </c>
      <c r="U4" s="94" t="str">
        <v>Nhà ở</v>
      </c>
      <c r="V4" s="94" t="str">
        <v>Nhà ở</v>
      </c>
      <c r="W4" s="95">
        <v>500000</v>
      </c>
      <c r="Y4" s="98">
        <f>Y3+1</f>
        <v>45963</v>
      </c>
      <c r="Z4" s="98">
        <f>Z3+1</f>
        <v>45932</v>
      </c>
      <c r="AA4" s="101">
        <f>IF(Table13[[#This Row],[Tháng này]]&lt;=$A$4,SUMIFS(Table10[SỐ TIỀN],Table10[NGÀY CHI],Table13[[#This Row],[Tháng này]]),NA())</f>
        <v>449000</v>
      </c>
      <c r="AB4" s="74">
        <f>SUMIFS(Table10[SỐ TIỀN],Table10[NGÀY CHI],Table13[[#This Row],[Tháng trước]])</f>
        <v>563000</v>
      </c>
      <c r="AD4" s="66" t="s">
        <v>4</v>
      </c>
      <c r="AE4" s="66" t="s">
        <v>153</v>
      </c>
      <c r="AF4" s="72">
        <v>1848000</v>
      </c>
      <c r="AG4" s="74">
        <f>IFERROR(VLOOKUP(AD4,_xlfn.VSTACK(Table1[],Table14[],Table16[],Table18[],Table110[]),2,0),0)</f>
        <v>2000000</v>
      </c>
      <c r="AH4" s="108">
        <f t="shared" ref="AH4:AH67" si="3">AG4-AF4</f>
        <v>152000</v>
      </c>
      <c r="AJ4" s="79" t="str">
        <v>Nhà ở</v>
      </c>
      <c r="AK4" s="113" t="str">
        <v>Oct</v>
      </c>
      <c r="AL4" s="115">
        <v>1000000</v>
      </c>
      <c r="AM4" s="115">
        <v>1600000</v>
      </c>
      <c r="AN4" s="111">
        <v>600000</v>
      </c>
    </row>
    <row r="5" spans="1:40" ht="24" customHeight="1" x14ac:dyDescent="0.25">
      <c r="D5" s="81" t="str">
        <f t="shared" si="0"/>
        <v>Giải trí và xã hội</v>
      </c>
      <c r="E5" s="73">
        <f t="shared" si="0"/>
        <v>1765000</v>
      </c>
      <c r="G5" s="71">
        <v>3</v>
      </c>
      <c r="H5" s="80">
        <f>DATEVALUE(Table8[[#This Row],[STT]]&amp;"/"&amp;$J$1)</f>
        <v>45717</v>
      </c>
      <c r="I5" s="74">
        <f>SUMIFS(Table10[SỐ TIỀN],Table10[NGÀY CHI],"&gt;="&amp;Table8[[#This Row],[Tháng]],Table10[NGÀY CHI],"&lt;"&amp;H6)</f>
        <v>10991000</v>
      </c>
      <c r="J5" s="74">
        <f>IF(Table8[[#This Row],[Tổng chi tiêu]]&lt;&gt;0,SUMIFS(Table103[SỐ TIỀN],Table103[NGÀY],"&gt;="&amp;Table8[[#This Row],[Tháng]],Table103[NGÀY],"&lt;"&amp;H6),NA())</f>
        <v>10000000</v>
      </c>
      <c r="L5" s="105" t="str">
        <v>Chi phí cá nhân</v>
      </c>
      <c r="M5" s="103">
        <f>Table14[[#Totals],[Định mức]]</f>
        <v>2800000</v>
      </c>
      <c r="N5" s="119">
        <f>VLOOKUP(L5,Table6[],2,0)</f>
        <v>2619000</v>
      </c>
      <c r="O5" s="103">
        <f t="shared" si="1"/>
        <v>181000</v>
      </c>
      <c r="P5" s="117">
        <v>1</v>
      </c>
      <c r="Q5" s="117">
        <f t="shared" si="2"/>
        <v>0.93535714285714289</v>
      </c>
      <c r="S5" s="58">
        <v>45965</v>
      </c>
      <c r="T5" s="66" t="str">
        <v>Tiết kiệm, đầu tư</v>
      </c>
      <c r="U5" s="66" t="str">
        <v>Tiết kiệm</v>
      </c>
      <c r="V5" s="66" t="str">
        <v>Gửi tiết kiệm</v>
      </c>
      <c r="W5" s="92">
        <v>500000</v>
      </c>
      <c r="Y5" s="98">
        <f t="shared" ref="Y5:Y30" si="4">Y4+1</f>
        <v>45964</v>
      </c>
      <c r="Z5" s="98">
        <f t="shared" ref="Z5:Z30" si="5">Z4+1</f>
        <v>45933</v>
      </c>
      <c r="AA5" s="101">
        <f>IF(Table13[[#This Row],[Tháng này]]&lt;=$A$4,SUMIFS(Table10[SỐ TIỀN],Table10[NGÀY CHI],Table13[[#This Row],[Tháng này]]),NA())</f>
        <v>595000</v>
      </c>
      <c r="AB5" s="74">
        <f>SUMIFS(Table10[SỐ TIỀN],Table10[NGÀY CHI],Table13[[#This Row],[Tháng trước]])</f>
        <v>642000</v>
      </c>
      <c r="AD5" s="66" t="s">
        <v>4</v>
      </c>
      <c r="AE5" s="109" t="s">
        <v>154</v>
      </c>
      <c r="AF5" s="72">
        <v>2274000</v>
      </c>
      <c r="AG5" s="74">
        <f>IFERROR(VLOOKUP(AD5,_xlfn.VSTACK(Table1[],Table14[],Table16[],Table18[],Table110[]),2,0),0)</f>
        <v>2000000</v>
      </c>
      <c r="AH5" s="108">
        <f t="shared" si="3"/>
        <v>-274000</v>
      </c>
      <c r="AJ5" s="78" t="str">
        <v>Nhà ở</v>
      </c>
      <c r="AK5" s="112" t="str">
        <v>Nov</v>
      </c>
      <c r="AL5" s="114">
        <v>1000000</v>
      </c>
      <c r="AM5" s="114">
        <v>1600000</v>
      </c>
      <c r="AN5" s="110">
        <v>600000</v>
      </c>
    </row>
    <row r="6" spans="1:40" ht="24" customHeight="1" x14ac:dyDescent="0.25">
      <c r="D6" s="81" t="str">
        <f t="shared" si="0"/>
        <v>Tiết kiệm, đầu tư</v>
      </c>
      <c r="E6" s="73">
        <f t="shared" si="0"/>
        <v>1500000</v>
      </c>
      <c r="G6" s="71">
        <v>4</v>
      </c>
      <c r="H6" s="80">
        <f>DATEVALUE(Table8[[#This Row],[STT]]&amp;"/"&amp;$J$1)</f>
        <v>45748</v>
      </c>
      <c r="I6" s="74">
        <f>SUMIFS(Table10[SỐ TIỀN],Table10[NGÀY CHI],"&gt;="&amp;Table8[[#This Row],[Tháng]],Table10[NGÀY CHI],"&lt;"&amp;H7)</f>
        <v>10715000</v>
      </c>
      <c r="J6" s="74">
        <f>IF(Table8[[#This Row],[Tổng chi tiêu]]&lt;&gt;0,SUMIFS(Table103[SỐ TIỀN],Table103[NGÀY],"&gt;="&amp;Table8[[#This Row],[Tháng]],Table103[NGÀY],"&lt;"&amp;H7),NA())</f>
        <v>12100000</v>
      </c>
      <c r="L6" s="106" t="str">
        <v>Giải trí và xã hội</v>
      </c>
      <c r="M6" s="104">
        <f>Table16[[#Totals],[Định mức]]</f>
        <v>1900000</v>
      </c>
      <c r="N6" s="104">
        <f>VLOOKUP(L6,Table6[],2,0)</f>
        <v>1765000</v>
      </c>
      <c r="O6" s="104">
        <f t="shared" si="1"/>
        <v>135000</v>
      </c>
      <c r="P6" s="118">
        <v>1</v>
      </c>
      <c r="Q6" s="118">
        <f t="shared" si="2"/>
        <v>0.92894736842105263</v>
      </c>
      <c r="S6" s="93">
        <v>45967</v>
      </c>
      <c r="T6" s="94" t="str">
        <v>Giải trí và xã hội</v>
      </c>
      <c r="U6" s="94" t="str">
        <v>Du lịch</v>
      </c>
      <c r="V6" s="94" t="str">
        <v>Quỹ du lịch</v>
      </c>
      <c r="W6" s="95">
        <v>500000</v>
      </c>
      <c r="Y6" s="98">
        <f t="shared" si="4"/>
        <v>45965</v>
      </c>
      <c r="Z6" s="98">
        <f t="shared" si="5"/>
        <v>45934</v>
      </c>
      <c r="AA6" s="101">
        <f>IF(Table13[[#This Row],[Tháng này]]&lt;=$A$4,SUMIFS(Table10[SỐ TIỀN],Table10[NGÀY CHI],Table13[[#This Row],[Tháng này]]),NA())</f>
        <v>638000</v>
      </c>
      <c r="AB6" s="74">
        <f>SUMIFS(Table10[SỐ TIỀN],Table10[NGÀY CHI],Table13[[#This Row],[Tháng trước]])</f>
        <v>147000</v>
      </c>
      <c r="AD6" s="66" t="s">
        <v>4</v>
      </c>
      <c r="AE6" s="66" t="s">
        <v>155</v>
      </c>
      <c r="AF6" s="72">
        <v>2225000</v>
      </c>
      <c r="AG6" s="74">
        <f>IFERROR(VLOOKUP(AD6,_xlfn.VSTACK(Table1[],Table14[],Table16[],Table18[],Table110[]),2,0),0)</f>
        <v>2000000</v>
      </c>
      <c r="AH6" s="108">
        <f t="shared" si="3"/>
        <v>-225000</v>
      </c>
      <c r="AJ6" s="79" t="str">
        <v>Giải trí</v>
      </c>
      <c r="AK6" s="113" t="str">
        <v>Mar</v>
      </c>
      <c r="AL6" s="115">
        <v>245000</v>
      </c>
      <c r="AM6" s="115">
        <v>500000</v>
      </c>
      <c r="AN6" s="111">
        <v>255000</v>
      </c>
    </row>
    <row r="7" spans="1:40" ht="24" customHeight="1" x14ac:dyDescent="0.25">
      <c r="D7" s="81" t="str">
        <f t="shared" si="0"/>
        <v>Quà tặng, hiếu, hỉ</v>
      </c>
      <c r="E7" s="73">
        <f t="shared" si="0"/>
        <v>150000</v>
      </c>
      <c r="G7" s="71">
        <v>5</v>
      </c>
      <c r="H7" s="80">
        <f>DATEVALUE(Table8[[#This Row],[STT]]&amp;"/"&amp;$J$1)</f>
        <v>45778</v>
      </c>
      <c r="I7" s="74">
        <f>SUMIFS(Table10[SỐ TIỀN],Table10[NGÀY CHI],"&gt;="&amp;Table8[[#This Row],[Tháng]],Table10[NGÀY CHI],"&lt;"&amp;H8)</f>
        <v>9829000</v>
      </c>
      <c r="J7" s="74">
        <f>IF(Table8[[#This Row],[Tổng chi tiêu]]&lt;&gt;0,SUMIFS(Table103[SỐ TIỀN],Table103[NGÀY],"&gt;="&amp;Table8[[#This Row],[Tháng]],Table103[NGÀY],"&lt;"&amp;H8),NA())</f>
        <v>10000000</v>
      </c>
      <c r="L7" s="105" t="str">
        <v>Tiết kiệm, đầu tư</v>
      </c>
      <c r="M7" s="103">
        <f>Table18[[#Totals],[Định mức]]</f>
        <v>1500000</v>
      </c>
      <c r="N7" s="119">
        <f>VLOOKUP(L7,Table6[],2,0)</f>
        <v>1500000</v>
      </c>
      <c r="O7" s="103">
        <f t="shared" si="1"/>
        <v>0</v>
      </c>
      <c r="P7" s="117">
        <v>1</v>
      </c>
      <c r="Q7" s="117">
        <f t="shared" si="2"/>
        <v>1</v>
      </c>
      <c r="S7" s="58">
        <v>45969</v>
      </c>
      <c r="T7" s="66" t="str">
        <v>Tiết kiệm, đầu tư</v>
      </c>
      <c r="U7" s="66" t="str">
        <v>Đầu tư</v>
      </c>
      <c r="V7" s="66" t="str">
        <v>Mua cổ phiếu</v>
      </c>
      <c r="W7" s="92">
        <v>500000</v>
      </c>
      <c r="Y7" s="98">
        <f t="shared" si="4"/>
        <v>45966</v>
      </c>
      <c r="Z7" s="98">
        <f t="shared" si="5"/>
        <v>45935</v>
      </c>
      <c r="AA7" s="101">
        <f>IF(Table13[[#This Row],[Tháng này]]&lt;=$A$4,SUMIFS(Table10[SỐ TIỀN],Table10[NGÀY CHI],Table13[[#This Row],[Tháng này]]),NA())</f>
        <v>245000</v>
      </c>
      <c r="AB7" s="74">
        <f>SUMIFS(Table10[SỐ TIỀN],Table10[NGÀY CHI],Table13[[#This Row],[Tháng trước]])</f>
        <v>650000</v>
      </c>
      <c r="AD7" s="66" t="s">
        <v>4</v>
      </c>
      <c r="AE7" s="66" t="s">
        <v>156</v>
      </c>
      <c r="AF7" s="72">
        <v>2187000</v>
      </c>
      <c r="AG7" s="74">
        <f>IFERROR(VLOOKUP(AD7,_xlfn.VSTACK(Table1[],Table14[],Table16[],Table18[],Table110[]),2,0),0)</f>
        <v>2000000</v>
      </c>
      <c r="AH7" s="108">
        <f t="shared" si="3"/>
        <v>-187000</v>
      </c>
      <c r="AJ7" s="78" t="str">
        <v>Học tập, phát triển</v>
      </c>
      <c r="AK7" s="112" t="str">
        <v>May</v>
      </c>
      <c r="AL7" s="114">
        <v>271000</v>
      </c>
      <c r="AM7" s="114">
        <v>500000</v>
      </c>
      <c r="AN7" s="110">
        <v>229000</v>
      </c>
    </row>
    <row r="8" spans="1:40" ht="24" customHeight="1" x14ac:dyDescent="0.25">
      <c r="G8" s="71">
        <v>6</v>
      </c>
      <c r="H8" s="80">
        <f>DATEVALUE(Table8[[#This Row],[STT]]&amp;"/"&amp;$J$1)</f>
        <v>45809</v>
      </c>
      <c r="I8" s="74">
        <f>SUMIFS(Table10[SỐ TIỀN],Table10[NGÀY CHI],"&gt;="&amp;Table8[[#This Row],[Tháng]],Table10[NGÀY CHI],"&lt;"&amp;H9)</f>
        <v>9994000</v>
      </c>
      <c r="J8" s="74">
        <f>IF(Table8[[#This Row],[Tổng chi tiêu]]&lt;&gt;0,SUMIFS(Table103[SỐ TIỀN],Table103[NGÀY],"&gt;="&amp;Table8[[#This Row],[Tháng]],Table103[NGÀY],"&lt;"&amp;H9),NA())</f>
        <v>11200000</v>
      </c>
      <c r="L8" s="106" t="str">
        <v>Quà tặng, hiếu, hỉ</v>
      </c>
      <c r="M8" s="104">
        <f>Table110[[#Totals],[Định mức]]</f>
        <v>800000</v>
      </c>
      <c r="N8" s="104">
        <f>VLOOKUP(L8,Table6[],2,0)</f>
        <v>150000</v>
      </c>
      <c r="O8" s="104">
        <f t="shared" si="1"/>
        <v>650000</v>
      </c>
      <c r="P8" s="118">
        <v>1</v>
      </c>
      <c r="Q8" s="118">
        <f t="shared" si="2"/>
        <v>0.1875</v>
      </c>
      <c r="S8" s="93">
        <v>45971</v>
      </c>
      <c r="T8" s="94" t="str">
        <v>Tiết kiệm, đầu tư</v>
      </c>
      <c r="U8" s="94" t="str">
        <v>Đầu tư</v>
      </c>
      <c r="V8" s="94" t="str">
        <v>Mua cổ phiếu</v>
      </c>
      <c r="W8" s="95">
        <v>500000</v>
      </c>
      <c r="Y8" s="98">
        <f t="shared" si="4"/>
        <v>45967</v>
      </c>
      <c r="Z8" s="98">
        <f t="shared" si="5"/>
        <v>45936</v>
      </c>
      <c r="AA8" s="101">
        <f>IF(Table13[[#This Row],[Tháng này]]&lt;=$A$4,SUMIFS(Table10[SỐ TIỀN],Table10[NGÀY CHI],Table13[[#This Row],[Tháng này]]),NA())</f>
        <v>547000</v>
      </c>
      <c r="AB8" s="74">
        <f>SUMIFS(Table10[SỐ TIỀN],Table10[NGÀY CHI],Table13[[#This Row],[Tháng trước]])</f>
        <v>552000</v>
      </c>
      <c r="AD8" s="66" t="s">
        <v>4</v>
      </c>
      <c r="AE8" s="66" t="s">
        <v>157</v>
      </c>
      <c r="AF8" s="72">
        <v>2193000</v>
      </c>
      <c r="AG8" s="74">
        <f>IFERROR(VLOOKUP(AD8,_xlfn.VSTACK(Table1[],Table14[],Table16[],Table18[],Table110[]),2,0),0)</f>
        <v>2000000</v>
      </c>
      <c r="AH8" s="108">
        <f t="shared" si="3"/>
        <v>-193000</v>
      </c>
    </row>
    <row r="9" spans="1:40" ht="24" customHeight="1" x14ac:dyDescent="0.25">
      <c r="D9" s="70" t="s">
        <v>82</v>
      </c>
      <c r="E9" s="66" t="s">
        <v>83</v>
      </c>
      <c r="G9" s="71">
        <v>7</v>
      </c>
      <c r="H9" s="80">
        <f>DATEVALUE(Table8[[#This Row],[STT]]&amp;"/"&amp;$J$1)</f>
        <v>45839</v>
      </c>
      <c r="I9" s="74">
        <f>SUMIFS(Table10[SỐ TIỀN],Table10[NGÀY CHI],"&gt;="&amp;Table8[[#This Row],[Tháng]],Table10[NGÀY CHI],"&lt;"&amp;H10)</f>
        <v>12842000</v>
      </c>
      <c r="J9" s="74">
        <f>IF(Table8[[#This Row],[Tổng chi tiêu]]&lt;&gt;0,SUMIFS(Table103[SỐ TIỀN],Table103[NGÀY],"&gt;="&amp;Table8[[#This Row],[Tháng]],Table103[NGÀY],"&lt;"&amp;H10),NA())</f>
        <v>13000000</v>
      </c>
      <c r="L9"/>
      <c r="M9"/>
      <c r="N9"/>
      <c r="O9"/>
      <c r="P9"/>
      <c r="Q9"/>
      <c r="S9" s="58">
        <v>45982</v>
      </c>
      <c r="T9" s="66" t="str">
        <v>Quà tặng, hiếu, hỉ</v>
      </c>
      <c r="U9" s="66" t="str">
        <v>Hiếu, hỉ</v>
      </c>
      <c r="V9" s="66" t="str">
        <v>Đám cưới đồng nghiệp</v>
      </c>
      <c r="W9" s="92">
        <v>500000</v>
      </c>
      <c r="Y9" s="98">
        <f t="shared" si="4"/>
        <v>45968</v>
      </c>
      <c r="Z9" s="98">
        <f t="shared" si="5"/>
        <v>45937</v>
      </c>
      <c r="AA9" s="101">
        <f>IF(Table13[[#This Row],[Tháng này]]&lt;=$A$4,SUMIFS(Table10[SỐ TIỀN],Table10[NGÀY CHI],Table13[[#This Row],[Tháng này]]),NA())</f>
        <v>445000</v>
      </c>
      <c r="AB9" s="74">
        <f>SUMIFS(Table10[SỐ TIỀN],Table10[NGÀY CHI],Table13[[#This Row],[Tháng trước]])</f>
        <v>455000</v>
      </c>
      <c r="AD9" s="66" t="s">
        <v>4</v>
      </c>
      <c r="AE9" s="66" t="s">
        <v>158</v>
      </c>
      <c r="AF9" s="72">
        <v>2316000</v>
      </c>
      <c r="AG9" s="74">
        <f>IFERROR(VLOOKUP(AD9,_xlfn.VSTACK(Table1[],Table14[],Table16[],Table18[],Table110[]),2,0),0)</f>
        <v>2000000</v>
      </c>
      <c r="AH9" s="108">
        <f t="shared" si="3"/>
        <v>-316000</v>
      </c>
    </row>
    <row r="10" spans="1:40" ht="24" customHeight="1" x14ac:dyDescent="0.25">
      <c r="D10" s="82" t="s">
        <v>6</v>
      </c>
      <c r="E10" s="72">
        <v>2900000</v>
      </c>
      <c r="G10" s="71">
        <v>8</v>
      </c>
      <c r="H10" s="80">
        <f>DATEVALUE(Table8[[#This Row],[STT]]&amp;"/"&amp;$J$1)</f>
        <v>45870</v>
      </c>
      <c r="I10" s="74">
        <f>SUMIFS(Table10[SỐ TIỀN],Table10[NGÀY CHI],"&gt;="&amp;Table8[[#This Row],[Tháng]],Table10[NGÀY CHI],"&lt;"&amp;H11)</f>
        <v>9838000</v>
      </c>
      <c r="J10" s="74">
        <f>IF(Table8[[#This Row],[Tổng chi tiêu]]&lt;&gt;0,SUMIFS(Table103[SỐ TIỀN],Table103[NGÀY],"&gt;="&amp;Table8[[#This Row],[Tháng]],Table103[NGÀY],"&lt;"&amp;H11),NA())</f>
        <v>9900000</v>
      </c>
      <c r="L10"/>
      <c r="M10"/>
      <c r="N10"/>
      <c r="O10"/>
      <c r="P10"/>
      <c r="Q10"/>
      <c r="S10" s="93">
        <v>45964</v>
      </c>
      <c r="T10" s="94" t="str">
        <v>Chi phí thiết yếu</v>
      </c>
      <c r="U10" s="94" t="str">
        <v>Hóa đơn hàng tháng</v>
      </c>
      <c r="V10" s="94" t="str">
        <v>Tiền điện</v>
      </c>
      <c r="W10" s="95">
        <v>409000</v>
      </c>
      <c r="Y10" s="98">
        <f t="shared" si="4"/>
        <v>45969</v>
      </c>
      <c r="Z10" s="98">
        <f t="shared" si="5"/>
        <v>45938</v>
      </c>
      <c r="AA10" s="101">
        <f>IF(Table13[[#This Row],[Tháng này]]&lt;=$A$4,SUMIFS(Table10[SỐ TIỀN],Table10[NGÀY CHI],Table13[[#This Row],[Tháng này]]),NA())</f>
        <v>551000</v>
      </c>
      <c r="AB10" s="74">
        <f>SUMIFS(Table10[SỐ TIỀN],Table10[NGÀY CHI],Table13[[#This Row],[Tháng trước]])</f>
        <v>202000</v>
      </c>
      <c r="AD10" s="66" t="s">
        <v>4</v>
      </c>
      <c r="AE10" s="66" t="s">
        <v>150</v>
      </c>
      <c r="AF10" s="72">
        <v>2287000</v>
      </c>
      <c r="AG10" s="74">
        <f>IFERROR(VLOOKUP(AD10,_xlfn.VSTACK(Table1[],Table14[],Table16[],Table18[],Table110[]),2,0),0)</f>
        <v>2000000</v>
      </c>
      <c r="AH10" s="108">
        <f t="shared" si="3"/>
        <v>-287000</v>
      </c>
    </row>
    <row r="11" spans="1:40" ht="24" customHeight="1" x14ac:dyDescent="0.25">
      <c r="D11" s="82" t="s">
        <v>8</v>
      </c>
      <c r="E11" s="72">
        <v>2619000</v>
      </c>
      <c r="G11" s="71">
        <v>9</v>
      </c>
      <c r="H11" s="80">
        <f>DATEVALUE(Table8[[#This Row],[STT]]&amp;"/"&amp;$J$1)</f>
        <v>45901</v>
      </c>
      <c r="I11" s="74">
        <f>SUMIFS(Table10[SỐ TIỀN],Table10[NGÀY CHI],"&gt;="&amp;Table8[[#This Row],[Tháng]],Table10[NGÀY CHI],"&lt;"&amp;H12)</f>
        <v>10518000</v>
      </c>
      <c r="J11" s="74">
        <f>IF(Table8[[#This Row],[Tổng chi tiêu]]&lt;&gt;0,SUMIFS(Table103[SỐ TIỀN],Table103[NGÀY],"&gt;="&amp;Table8[[#This Row],[Tháng]],Table103[NGÀY],"&lt;"&amp;H12),NA())</f>
        <v>10500000</v>
      </c>
      <c r="L11"/>
      <c r="M11"/>
      <c r="N11"/>
      <c r="O11"/>
      <c r="P11"/>
      <c r="Q11"/>
      <c r="S11" s="58">
        <v>45983</v>
      </c>
      <c r="T11" s="66" t="str">
        <v>Quà tặng, hiếu, hỉ</v>
      </c>
      <c r="U11" s="66" t="str">
        <v>Quà tặng</v>
      </c>
      <c r="V11" s="66" t="str">
        <v>Quà tặng người yêu</v>
      </c>
      <c r="W11" s="92">
        <v>300000</v>
      </c>
      <c r="Y11" s="98">
        <f t="shared" si="4"/>
        <v>45970</v>
      </c>
      <c r="Z11" s="98">
        <f t="shared" si="5"/>
        <v>45939</v>
      </c>
      <c r="AA11" s="101">
        <f>IF(Table13[[#This Row],[Tháng này]]&lt;=$A$4,SUMIFS(Table10[SỐ TIỀN],Table10[NGÀY CHI],Table13[[#This Row],[Tháng này]]),NA())</f>
        <v>154000</v>
      </c>
      <c r="AB11" s="74">
        <f>SUMIFS(Table10[SỐ TIỀN],Table10[NGÀY CHI],Table13[[#This Row],[Tháng trước]])</f>
        <v>162000</v>
      </c>
      <c r="AD11" s="66" t="s">
        <v>4</v>
      </c>
      <c r="AE11" s="66" t="s">
        <v>159</v>
      </c>
      <c r="AF11" s="72">
        <v>2211000</v>
      </c>
      <c r="AG11" s="74">
        <f>IFERROR(VLOOKUP(AD11,_xlfn.VSTACK(Table1[],Table14[],Table16[],Table18[],Table110[]),2,0),0)</f>
        <v>2000000</v>
      </c>
      <c r="AH11" s="108">
        <f t="shared" si="3"/>
        <v>-211000</v>
      </c>
    </row>
    <row r="12" spans="1:40" ht="24" customHeight="1" x14ac:dyDescent="0.25">
      <c r="D12" s="82" t="s">
        <v>9</v>
      </c>
      <c r="E12" s="72">
        <v>1765000</v>
      </c>
      <c r="G12" s="71">
        <v>10</v>
      </c>
      <c r="H12" s="80">
        <f>DATEVALUE(Table8[[#This Row],[STT]]&amp;"/"&amp;$J$1)</f>
        <v>45931</v>
      </c>
      <c r="I12" s="74">
        <f>SUMIFS(Table10[SỐ TIỀN],Table10[NGÀY CHI],"&gt;="&amp;Table8[[#This Row],[Tháng]],Table10[NGÀY CHI],"&lt;"&amp;H13)</f>
        <v>9178000</v>
      </c>
      <c r="J12" s="74">
        <f>IF(Table8[[#This Row],[Tổng chi tiêu]]&lt;&gt;0,SUMIFS(Table103[SỐ TIỀN],Table103[NGÀY],"&gt;="&amp;Table8[[#This Row],[Tháng]],Table103[NGÀY],"&lt;"&amp;H13),NA())</f>
        <v>10200000</v>
      </c>
      <c r="L12"/>
      <c r="M12"/>
      <c r="N12"/>
      <c r="O12"/>
      <c r="P12"/>
      <c r="Q12"/>
      <c r="S12" s="93">
        <v>45963</v>
      </c>
      <c r="T12" s="94" t="str">
        <v>Chi phí cá nhân</v>
      </c>
      <c r="U12" s="94" t="str">
        <v>Học tập, phát triển</v>
      </c>
      <c r="V12" s="94" t="str">
        <v>Mua sách kế toán doanh nghiệp</v>
      </c>
      <c r="W12" s="95">
        <v>292000</v>
      </c>
      <c r="Y12" s="98">
        <f t="shared" si="4"/>
        <v>45971</v>
      </c>
      <c r="Z12" s="98">
        <f t="shared" si="5"/>
        <v>45940</v>
      </c>
      <c r="AA12" s="101">
        <f>IF(Table13[[#This Row],[Tháng này]]&lt;=$A$4,SUMIFS(Table10[SỐ TIỀN],Table10[NGÀY CHI],Table13[[#This Row],[Tháng này]]),NA())</f>
        <v>553000</v>
      </c>
      <c r="AB12" s="74">
        <f>SUMIFS(Table10[SỐ TIỀN],Table10[NGÀY CHI],Table13[[#This Row],[Tháng trước]])</f>
        <v>556000</v>
      </c>
      <c r="AD12" s="66" t="s">
        <v>4</v>
      </c>
      <c r="AE12" s="66" t="s">
        <v>160</v>
      </c>
      <c r="AF12" s="72">
        <v>1987000</v>
      </c>
      <c r="AG12" s="74">
        <f>IFERROR(VLOOKUP(AD12,_xlfn.VSTACK(Table1[],Table14[],Table16[],Table18[],Table110[]),2,0),0)</f>
        <v>2000000</v>
      </c>
      <c r="AH12" s="108">
        <f t="shared" si="3"/>
        <v>13000</v>
      </c>
    </row>
    <row r="13" spans="1:40" ht="24" customHeight="1" x14ac:dyDescent="0.25">
      <c r="D13" s="82" t="s">
        <v>11</v>
      </c>
      <c r="E13" s="72">
        <v>1500000</v>
      </c>
      <c r="G13" s="71">
        <v>11</v>
      </c>
      <c r="H13" s="80">
        <f>DATEVALUE(Table8[[#This Row],[STT]]&amp;"/"&amp;$J$1)</f>
        <v>45962</v>
      </c>
      <c r="I13" s="74">
        <f>SUMIFS(Table10[SỐ TIỀN],Table10[NGÀY CHI],"&gt;="&amp;Table8[[#This Row],[Tháng]],Table10[NGÀY CHI],"&lt;"&amp;H14)</f>
        <v>7965000</v>
      </c>
      <c r="J13" s="74">
        <f>IF(Table8[[#This Row],[Tổng chi tiêu]]&lt;&gt;0,SUMIFS(Table103[SỐ TIỀN],Table103[NGÀY],"&gt;="&amp;Table8[[#This Row],[Tháng]],Table103[NGÀY],"&lt;"&amp;H14),NA())</f>
        <v>10000000</v>
      </c>
      <c r="L13"/>
      <c r="M13"/>
      <c r="N13"/>
      <c r="O13"/>
      <c r="P13"/>
      <c r="Q13"/>
      <c r="S13" s="58"/>
      <c r="T13" s="66"/>
      <c r="U13" s="66"/>
      <c r="V13" s="66"/>
      <c r="W13" s="74"/>
      <c r="Y13" s="98">
        <f t="shared" si="4"/>
        <v>45972</v>
      </c>
      <c r="Z13" s="98">
        <f t="shared" si="5"/>
        <v>45941</v>
      </c>
      <c r="AA13" s="101">
        <f>IF(Table13[[#This Row],[Tháng này]]&lt;=$A$4,SUMIFS(Table10[SỐ TIỀN],Table10[NGÀY CHI],Table13[[#This Row],[Tháng này]]),NA())</f>
        <v>425000</v>
      </c>
      <c r="AB13" s="74">
        <f>SUMIFS(Table10[SỐ TIỀN],Table10[NGÀY CHI],Table13[[#This Row],[Tháng trước]])</f>
        <v>447000</v>
      </c>
      <c r="AD13" s="66" t="s">
        <v>4</v>
      </c>
      <c r="AE13" s="66" t="s">
        <v>161</v>
      </c>
      <c r="AF13" s="72">
        <v>1215000</v>
      </c>
      <c r="AG13" s="74">
        <f>IFERROR(VLOOKUP(AD13,_xlfn.VSTACK(Table1[],Table14[],Table16[],Table18[],Table110[]),2,0),0)</f>
        <v>2000000</v>
      </c>
      <c r="AH13" s="108">
        <f t="shared" si="3"/>
        <v>785000</v>
      </c>
    </row>
    <row r="14" spans="1:40" ht="24" customHeight="1" x14ac:dyDescent="0.25">
      <c r="D14" s="82" t="s">
        <v>10</v>
      </c>
      <c r="E14" s="72">
        <v>150000</v>
      </c>
      <c r="G14" s="71">
        <v>12</v>
      </c>
      <c r="H14" s="80">
        <f>DATEVALUE(Table8[[#This Row],[STT]]&amp;"/"&amp;$J$1)</f>
        <v>45992</v>
      </c>
      <c r="I14" s="74">
        <f>SUMIFS(Table10[SỐ TIỀN],Table10[NGÀY CHI],"&gt;="&amp;Table8[[#This Row],[Tháng]],Table10[NGÀY CHI],"&lt;"&amp;H15)</f>
        <v>0</v>
      </c>
      <c r="J14" s="74" t="e">
        <f>IF(Table8[[#This Row],[Tổng chi tiêu]]&lt;&gt;0,SUMIFS(Table103[SỐ TIỀN],Table103[NGÀY],"&gt;="&amp;Table8[[#This Row],[Tháng]],Table103[NGÀY],"&lt;"&amp;H15),NA())</f>
        <v>#N/A</v>
      </c>
      <c r="S14" s="96" t="s">
        <v>142</v>
      </c>
      <c r="T14" s="66"/>
      <c r="U14" s="66"/>
      <c r="V14" s="66"/>
      <c r="Y14" s="98">
        <f t="shared" si="4"/>
        <v>45973</v>
      </c>
      <c r="Z14" s="98">
        <f t="shared" si="5"/>
        <v>45942</v>
      </c>
      <c r="AA14" s="101">
        <f>IF(Table13[[#This Row],[Tháng này]]&lt;=$A$4,SUMIFS(Table10[SỐ TIỀN],Table10[NGÀY CHI],Table13[[#This Row],[Tháng này]]),NA())</f>
        <v>102000</v>
      </c>
      <c r="AB14" s="74">
        <f>SUMIFS(Table10[SỐ TIỀN],Table10[NGÀY CHI],Table13[[#This Row],[Tháng trước]])</f>
        <v>107000</v>
      </c>
      <c r="AD14" s="66" t="s">
        <v>17</v>
      </c>
      <c r="AE14" s="66" t="s">
        <v>152</v>
      </c>
      <c r="AF14" s="72">
        <v>375000</v>
      </c>
      <c r="AG14" s="74">
        <f>IFERROR(VLOOKUP(AD14,_xlfn.VSTACK(Table1[],Table14[],Table16[],Table18[],Table110[]),2,0),0)</f>
        <v>400000</v>
      </c>
      <c r="AH14" s="108">
        <f t="shared" si="3"/>
        <v>25000</v>
      </c>
    </row>
    <row r="15" spans="1:40" ht="24" customHeight="1" x14ac:dyDescent="0.25">
      <c r="S15" s="90" t="s">
        <v>22</v>
      </c>
      <c r="T15" s="89" t="s">
        <v>23</v>
      </c>
      <c r="U15" s="89" t="s">
        <v>24</v>
      </c>
      <c r="V15" s="89" t="s">
        <v>25</v>
      </c>
      <c r="W15" s="91" t="s">
        <v>26</v>
      </c>
      <c r="Y15" s="98">
        <f t="shared" si="4"/>
        <v>45974</v>
      </c>
      <c r="Z15" s="98">
        <f t="shared" si="5"/>
        <v>45943</v>
      </c>
      <c r="AA15" s="101">
        <f>IF(Table13[[#This Row],[Tháng này]]&lt;=$A$4,SUMIFS(Table10[SỐ TIỀN],Table10[NGÀY CHI],Table13[[#This Row],[Tháng này]]),NA())</f>
        <v>155000</v>
      </c>
      <c r="AB15" s="74">
        <f>SUMIFS(Table10[SỐ TIỀN],Table10[NGÀY CHI],Table13[[#This Row],[Tháng trước]])</f>
        <v>500000</v>
      </c>
      <c r="AD15" s="66" t="s">
        <v>17</v>
      </c>
      <c r="AE15" s="66" t="s">
        <v>153</v>
      </c>
      <c r="AF15" s="72">
        <v>385000</v>
      </c>
      <c r="AG15" s="74">
        <f>IFERROR(VLOOKUP(AD15,_xlfn.VSTACK(Table1[],Table14[],Table16[],Table18[],Table110[]),2,0),0)</f>
        <v>400000</v>
      </c>
      <c r="AH15" s="108">
        <f t="shared" si="3"/>
        <v>15000</v>
      </c>
    </row>
    <row r="16" spans="1:40" ht="24" customHeight="1" x14ac:dyDescent="0.25">
      <c r="S16" s="58" cm="1">
        <f t="array" ref="S16:W62">IF(W1="Tất cả",_xlfn._xlws.FILTER(Table10[],Table10[NGÀY CHI]&gt;='Công thức'!A3),_xlfn._xlws.FILTER(Table10[],(Table10[NGÀY CHI]&gt;='Công thức'!A3)*(Table10[NHÓM CHI TIÊU]='Công thức'!W1),"Không có dữ liệu"))</f>
        <v>45962</v>
      </c>
      <c r="T16" s="66" t="str">
        <v>Chi phí thiết yếu</v>
      </c>
      <c r="U16" s="66" t="str">
        <v>Nhà ở</v>
      </c>
      <c r="V16" s="66" t="str">
        <v>Nhà ở</v>
      </c>
      <c r="W16" s="92">
        <v>500000</v>
      </c>
      <c r="Y16" s="98">
        <f t="shared" si="4"/>
        <v>45975</v>
      </c>
      <c r="Z16" s="98">
        <f t="shared" si="5"/>
        <v>45944</v>
      </c>
      <c r="AA16" s="101">
        <f>IF(Table13[[#This Row],[Tháng này]]&lt;=$A$4,SUMIFS(Table10[SỐ TIỀN],Table10[NGÀY CHI],Table13[[#This Row],[Tháng này]]),NA())</f>
        <v>553000</v>
      </c>
      <c r="AB16" s="74">
        <f>SUMIFS(Table10[SỐ TIỀN],Table10[NGÀY CHI],Table13[[#This Row],[Tháng trước]])</f>
        <v>58000</v>
      </c>
      <c r="AD16" s="66" t="s">
        <v>17</v>
      </c>
      <c r="AE16" s="66" t="s">
        <v>154</v>
      </c>
      <c r="AF16" s="72">
        <v>602000</v>
      </c>
      <c r="AG16" s="74">
        <f>IFERROR(VLOOKUP(AD16,_xlfn.VSTACK(Table1[],Table14[],Table16[],Table18[],Table110[]),2,0),0)</f>
        <v>400000</v>
      </c>
      <c r="AH16" s="108">
        <f t="shared" si="3"/>
        <v>-202000</v>
      </c>
    </row>
    <row r="17" spans="19:34" ht="24" customHeight="1" x14ac:dyDescent="0.25">
      <c r="S17" s="93">
        <v>45975</v>
      </c>
      <c r="T17" s="94" t="str">
        <v>Chi phí thiết yếu</v>
      </c>
      <c r="U17" s="94" t="str">
        <v>Nhà ở</v>
      </c>
      <c r="V17" s="94" t="str">
        <v>Nhà ở</v>
      </c>
      <c r="W17" s="95">
        <v>500000</v>
      </c>
      <c r="Y17" s="98">
        <f t="shared" si="4"/>
        <v>45976</v>
      </c>
      <c r="Z17" s="98">
        <f t="shared" si="5"/>
        <v>45945</v>
      </c>
      <c r="AA17" s="101">
        <f>IF(Table13[[#This Row],[Tháng này]]&lt;=$A$4,SUMIFS(Table10[SỐ TIỀN],Table10[NGÀY CHI],Table13[[#This Row],[Tháng này]]),NA())</f>
        <v>153000</v>
      </c>
      <c r="AB17" s="74">
        <f>SUMIFS(Table10[SỐ TIỀN],Table10[NGÀY CHI],Table13[[#This Row],[Tháng trước]])</f>
        <v>164000</v>
      </c>
      <c r="AD17" s="66" t="s">
        <v>17</v>
      </c>
      <c r="AE17" s="66" t="s">
        <v>155</v>
      </c>
      <c r="AF17" s="72">
        <v>399000</v>
      </c>
      <c r="AG17" s="74">
        <f>IFERROR(VLOOKUP(AD17,_xlfn.VSTACK(Table1[],Table14[],Table16[],Table18[],Table110[]),2,0),0)</f>
        <v>400000</v>
      </c>
      <c r="AH17" s="108">
        <f t="shared" si="3"/>
        <v>1000</v>
      </c>
    </row>
    <row r="18" spans="19:34" ht="24" customHeight="1" x14ac:dyDescent="0.25">
      <c r="S18" s="58">
        <v>45962</v>
      </c>
      <c r="T18" s="66" t="str">
        <v>Chi phí thiết yếu</v>
      </c>
      <c r="U18" s="66" t="str">
        <v>Hóa đơn hàng tháng</v>
      </c>
      <c r="V18" s="66" t="str">
        <v>Tiền rác</v>
      </c>
      <c r="W18" s="92">
        <v>35000</v>
      </c>
      <c r="Y18" s="98">
        <f t="shared" si="4"/>
        <v>45977</v>
      </c>
      <c r="Z18" s="98">
        <f t="shared" si="5"/>
        <v>45946</v>
      </c>
      <c r="AA18" s="101">
        <f>IF(Table13[[#This Row],[Tháng này]]&lt;=$A$4,SUMIFS(Table10[SỐ TIỀN],Table10[NGÀY CHI],Table13[[#This Row],[Tháng này]]),NA())</f>
        <v>448000</v>
      </c>
      <c r="AB18" s="74">
        <f>SUMIFS(Table10[SỐ TIỀN],Table10[NGÀY CHI],Table13[[#This Row],[Tháng trước]])</f>
        <v>192000</v>
      </c>
      <c r="AD18" s="66" t="s">
        <v>17</v>
      </c>
      <c r="AE18" s="66" t="s">
        <v>156</v>
      </c>
      <c r="AF18" s="72">
        <v>411000</v>
      </c>
      <c r="AG18" s="74">
        <f>IFERROR(VLOOKUP(AD18,_xlfn.VSTACK(Table1[],Table14[],Table16[],Table18[],Table110[]),2,0),0)</f>
        <v>400000</v>
      </c>
      <c r="AH18" s="108">
        <f t="shared" si="3"/>
        <v>-11000</v>
      </c>
    </row>
    <row r="19" spans="19:34" ht="24" customHeight="1" x14ac:dyDescent="0.25">
      <c r="S19" s="93">
        <v>45963</v>
      </c>
      <c r="T19" s="94" t="str">
        <v>Chi phí thiết yếu</v>
      </c>
      <c r="U19" s="94" t="str">
        <v>Hóa đơn hàng tháng</v>
      </c>
      <c r="V19" s="94" t="str">
        <v>Tiền nước</v>
      </c>
      <c r="W19" s="95">
        <v>98000</v>
      </c>
      <c r="Y19" s="98">
        <f t="shared" si="4"/>
        <v>45978</v>
      </c>
      <c r="Z19" s="98">
        <f t="shared" si="5"/>
        <v>45947</v>
      </c>
      <c r="AA19" s="101">
        <f>IF(Table13[[#This Row],[Tháng này]]&lt;=$A$4,SUMIFS(Table10[SỐ TIỀN],Table10[NGÀY CHI],Table13[[#This Row],[Tháng này]]),NA())</f>
        <v>133000</v>
      </c>
      <c r="AB19" s="74">
        <f>SUMIFS(Table10[SỐ TIỀN],Table10[NGÀY CHI],Table13[[#This Row],[Tháng trước]])</f>
        <v>133000</v>
      </c>
      <c r="AD19" s="66" t="s">
        <v>17</v>
      </c>
      <c r="AE19" s="66" t="s">
        <v>157</v>
      </c>
      <c r="AF19" s="72">
        <v>443000</v>
      </c>
      <c r="AG19" s="74">
        <f>IFERROR(VLOOKUP(AD19,_xlfn.VSTACK(Table1[],Table14[],Table16[],Table18[],Table110[]),2,0),0)</f>
        <v>400000</v>
      </c>
      <c r="AH19" s="108">
        <f t="shared" si="3"/>
        <v>-43000</v>
      </c>
    </row>
    <row r="20" spans="19:34" ht="24" customHeight="1" x14ac:dyDescent="0.25">
      <c r="S20" s="58">
        <v>45963</v>
      </c>
      <c r="T20" s="66" t="str">
        <v>Chi phí cá nhân</v>
      </c>
      <c r="U20" s="66" t="str">
        <v>Học tập, phát triển</v>
      </c>
      <c r="V20" s="66" t="str">
        <v>Mua sách kế toán doanh nghiệp</v>
      </c>
      <c r="W20" s="92">
        <v>292000</v>
      </c>
      <c r="Y20" s="98">
        <f t="shared" si="4"/>
        <v>45979</v>
      </c>
      <c r="Z20" s="98">
        <f t="shared" si="5"/>
        <v>45948</v>
      </c>
      <c r="AA20" s="101">
        <f>IF(Table13[[#This Row],[Tháng này]]&lt;=$A$4,SUMIFS(Table10[SỐ TIỀN],Table10[NGÀY CHI],Table13[[#This Row],[Tháng này]]),NA())</f>
        <v>233000</v>
      </c>
      <c r="AB20" s="74">
        <f>SUMIFS(Table10[SỐ TIỀN],Table10[NGÀY CHI],Table13[[#This Row],[Tháng trước]])</f>
        <v>563000</v>
      </c>
      <c r="AD20" s="66" t="s">
        <v>17</v>
      </c>
      <c r="AE20" s="66" t="s">
        <v>158</v>
      </c>
      <c r="AF20" s="72">
        <v>452000</v>
      </c>
      <c r="AG20" s="74">
        <f>IFERROR(VLOOKUP(AD20,_xlfn.VSTACK(Table1[],Table14[],Table16[],Table18[],Table110[]),2,0),0)</f>
        <v>400000</v>
      </c>
      <c r="AH20" s="108">
        <f t="shared" si="3"/>
        <v>-52000</v>
      </c>
    </row>
    <row r="21" spans="19:34" ht="24" customHeight="1" x14ac:dyDescent="0.25">
      <c r="S21" s="93">
        <v>45963</v>
      </c>
      <c r="T21" s="94" t="str">
        <v>Giải trí và xã hội</v>
      </c>
      <c r="U21" s="94" t="str">
        <v>Bạn bè, đồng nghiệp</v>
      </c>
      <c r="V21" s="94" t="str">
        <v>Cà phê</v>
      </c>
      <c r="W21" s="95">
        <v>59000</v>
      </c>
      <c r="Y21" s="98">
        <f t="shared" si="4"/>
        <v>45980</v>
      </c>
      <c r="Z21" s="98">
        <f t="shared" si="5"/>
        <v>45949</v>
      </c>
      <c r="AA21" s="101">
        <f>IF(Table13[[#This Row],[Tháng này]]&lt;=$A$4,SUMIFS(Table10[SỐ TIỀN],Table10[NGÀY CHI],Table13[[#This Row],[Tháng này]]),NA())</f>
        <v>100000</v>
      </c>
      <c r="AB21" s="74">
        <f>SUMIFS(Table10[SỐ TIỀN],Table10[NGÀY CHI],Table13[[#This Row],[Tháng trước]])</f>
        <v>106000</v>
      </c>
      <c r="AD21" s="66" t="s">
        <v>17</v>
      </c>
      <c r="AE21" s="66" t="s">
        <v>150</v>
      </c>
      <c r="AF21" s="72">
        <v>446000</v>
      </c>
      <c r="AG21" s="74">
        <f>IFERROR(VLOOKUP(AD21,_xlfn.VSTACK(Table1[],Table14[],Table16[],Table18[],Table110[]),2,0),0)</f>
        <v>400000</v>
      </c>
      <c r="AH21" s="108">
        <f t="shared" si="3"/>
        <v>-46000</v>
      </c>
    </row>
    <row r="22" spans="19:34" ht="24" customHeight="1" x14ac:dyDescent="0.25">
      <c r="S22" s="58">
        <v>45964</v>
      </c>
      <c r="T22" s="66" t="str">
        <v>Chi phí thiết yếu</v>
      </c>
      <c r="U22" s="66" t="str">
        <v>Hóa đơn hàng tháng</v>
      </c>
      <c r="V22" s="66" t="str">
        <v>Tiền điện</v>
      </c>
      <c r="W22" s="92">
        <v>409000</v>
      </c>
      <c r="Y22" s="98">
        <f t="shared" si="4"/>
        <v>45981</v>
      </c>
      <c r="Z22" s="98">
        <f t="shared" si="5"/>
        <v>45950</v>
      </c>
      <c r="AA22" s="101">
        <f>IF(Table13[[#This Row],[Tháng này]]&lt;=$A$4,SUMIFS(Table10[SỐ TIỀN],Table10[NGÀY CHI],Table13[[#This Row],[Tháng này]]),NA())</f>
        <v>151000</v>
      </c>
      <c r="AB22" s="74">
        <f>SUMIFS(Table10[SỐ TIỀN],Table10[NGÀY CHI],Table13[[#This Row],[Tháng trước]])</f>
        <v>157000</v>
      </c>
      <c r="AD22" s="66" t="s">
        <v>17</v>
      </c>
      <c r="AE22" s="66" t="s">
        <v>159</v>
      </c>
      <c r="AF22" s="72">
        <v>437000</v>
      </c>
      <c r="AG22" s="74">
        <f>IFERROR(VLOOKUP(AD22,_xlfn.VSTACK(Table1[],Table14[],Table16[],Table18[],Table110[]),2,0),0)</f>
        <v>400000</v>
      </c>
      <c r="AH22" s="108">
        <f t="shared" si="3"/>
        <v>-37000</v>
      </c>
    </row>
    <row r="23" spans="19:34" ht="24" customHeight="1" x14ac:dyDescent="0.25">
      <c r="S23" s="93">
        <v>45979</v>
      </c>
      <c r="T23" s="94" t="str">
        <v>Chi phí thiết yếu</v>
      </c>
      <c r="U23" s="94" t="str">
        <v>Hóa đơn hàng tháng</v>
      </c>
      <c r="V23" s="94" t="str">
        <v>Tiền mạng internet</v>
      </c>
      <c r="W23" s="95">
        <v>171000</v>
      </c>
      <c r="Y23" s="98">
        <f t="shared" si="4"/>
        <v>45982</v>
      </c>
      <c r="Z23" s="98">
        <f t="shared" si="5"/>
        <v>45951</v>
      </c>
      <c r="AA23" s="101">
        <f>IF(Table13[[#This Row],[Tháng này]]&lt;=$A$4,SUMIFS(Table10[SỐ TIỀN],Table10[NGÀY CHI],Table13[[#This Row],[Tháng này]]),NA())</f>
        <v>500000</v>
      </c>
      <c r="AB23" s="74">
        <f>SUMIFS(Table10[SỐ TIỀN],Table10[NGÀY CHI],Table13[[#This Row],[Tháng trước]])</f>
        <v>141000</v>
      </c>
      <c r="AD23" s="66" t="s">
        <v>17</v>
      </c>
      <c r="AE23" s="66" t="s">
        <v>160</v>
      </c>
      <c r="AF23" s="72">
        <v>416000</v>
      </c>
      <c r="AG23" s="74">
        <f>IFERROR(VLOOKUP(AD23,_xlfn.VSTACK(Table1[],Table14[],Table16[],Table18[],Table110[]),2,0),0)</f>
        <v>400000</v>
      </c>
      <c r="AH23" s="108">
        <f t="shared" si="3"/>
        <v>-16000</v>
      </c>
    </row>
    <row r="24" spans="19:34" ht="24" customHeight="1" x14ac:dyDescent="0.25">
      <c r="S24" s="58">
        <v>45964</v>
      </c>
      <c r="T24" s="66" t="str">
        <v>Chi phí thiết yếu</v>
      </c>
      <c r="U24" s="66" t="str">
        <v>Đi lại</v>
      </c>
      <c r="V24" s="66" t="str">
        <v>Đổ xăng</v>
      </c>
      <c r="W24" s="92">
        <v>46000</v>
      </c>
      <c r="Y24" s="98">
        <f t="shared" si="4"/>
        <v>45983</v>
      </c>
      <c r="Z24" s="98">
        <f t="shared" si="5"/>
        <v>45952</v>
      </c>
      <c r="AA24" s="101">
        <f>IF(Table13[[#This Row],[Tháng này]]&lt;=$A$4,SUMIFS(Table10[SỐ TIỀN],Table10[NGÀY CHI],Table13[[#This Row],[Tháng này]]),NA())</f>
        <v>300000</v>
      </c>
      <c r="AB24" s="74">
        <f>SUMIFS(Table10[SỐ TIỀN],Table10[NGÀY CHI],Table13[[#This Row],[Tháng trước]])</f>
        <v>109000</v>
      </c>
      <c r="AD24" s="66" t="s">
        <v>17</v>
      </c>
      <c r="AE24" s="66" t="s">
        <v>161</v>
      </c>
      <c r="AF24" s="72">
        <v>399000</v>
      </c>
      <c r="AG24" s="74">
        <f>IFERROR(VLOOKUP(AD24,_xlfn.VSTACK(Table1[],Table14[],Table16[],Table18[],Table110[]),2,0),0)</f>
        <v>400000</v>
      </c>
      <c r="AH24" s="108">
        <f t="shared" si="3"/>
        <v>1000</v>
      </c>
    </row>
    <row r="25" spans="19:34" ht="24" customHeight="1" x14ac:dyDescent="0.25">
      <c r="S25" s="93">
        <v>45964</v>
      </c>
      <c r="T25" s="94" t="str">
        <v>Chi phí cá nhân</v>
      </c>
      <c r="U25" s="94" t="str">
        <v>Ăn uống</v>
      </c>
      <c r="V25" s="94" t="str">
        <v>Đi chợ</v>
      </c>
      <c r="W25" s="95">
        <v>140000</v>
      </c>
      <c r="Y25" s="98">
        <f t="shared" si="4"/>
        <v>45984</v>
      </c>
      <c r="Z25" s="98">
        <f t="shared" si="5"/>
        <v>45953</v>
      </c>
      <c r="AA25" s="101" t="e">
        <f>IF(Table13[[#This Row],[Tháng này]]&lt;=$A$4,SUMIFS(Table10[SỐ TIỀN],Table10[NGÀY CHI],Table13[[#This Row],[Tháng này]]),NA())</f>
        <v>#N/A</v>
      </c>
      <c r="AB25" s="74">
        <f>SUMIFS(Table10[SỐ TIỀN],Table10[NGÀY CHI],Table13[[#This Row],[Tháng trước]])</f>
        <v>513000</v>
      </c>
      <c r="AD25" s="66" t="s">
        <v>21</v>
      </c>
      <c r="AE25" s="66" t="s">
        <v>152</v>
      </c>
      <c r="AF25" s="72">
        <v>1000000</v>
      </c>
      <c r="AG25" s="74">
        <f>IFERROR(VLOOKUP(AD25,_xlfn.VSTACK(Table1[],Table14[],Table16[],Table18[],Table110[]),2,0),0)</f>
        <v>1000000</v>
      </c>
      <c r="AH25" s="108">
        <f t="shared" si="3"/>
        <v>0</v>
      </c>
    </row>
    <row r="26" spans="19:34" ht="24" customHeight="1" x14ac:dyDescent="0.25">
      <c r="S26" s="58">
        <v>45977</v>
      </c>
      <c r="T26" s="66" t="str">
        <v>Giải trí và xã hội</v>
      </c>
      <c r="U26" s="66" t="str">
        <v>Mua sắm</v>
      </c>
      <c r="V26" s="66" t="str">
        <v>Quần mới</v>
      </c>
      <c r="W26" s="92">
        <v>271000</v>
      </c>
      <c r="Y26" s="98">
        <f t="shared" si="4"/>
        <v>45985</v>
      </c>
      <c r="Z26" s="98">
        <f t="shared" si="5"/>
        <v>45954</v>
      </c>
      <c r="AA26" s="101" t="e">
        <f>IF(Table13[[#This Row],[Tháng này]]&lt;=$A$4,SUMIFS(Table10[SỐ TIỀN],Table10[NGÀY CHI],Table13[[#This Row],[Tháng này]]),NA())</f>
        <v>#N/A</v>
      </c>
      <c r="AB26" s="74">
        <f>SUMIFS(Table10[SỐ TIỀN],Table10[NGÀY CHI],Table13[[#This Row],[Tháng trước]])</f>
        <v>226000</v>
      </c>
      <c r="AD26" s="66" t="s">
        <v>21</v>
      </c>
      <c r="AE26" s="66" t="s">
        <v>153</v>
      </c>
      <c r="AF26" s="72">
        <v>1000000</v>
      </c>
      <c r="AG26" s="74">
        <f>IFERROR(VLOOKUP(AD26,_xlfn.VSTACK(Table1[],Table14[],Table16[],Table18[],Table110[]),2,0),0)</f>
        <v>1000000</v>
      </c>
      <c r="AH26" s="108">
        <f t="shared" si="3"/>
        <v>0</v>
      </c>
    </row>
    <row r="27" spans="19:34" ht="24" customHeight="1" x14ac:dyDescent="0.25">
      <c r="S27" s="93">
        <v>45965</v>
      </c>
      <c r="T27" s="94" t="str">
        <v>Tiết kiệm, đầu tư</v>
      </c>
      <c r="U27" s="94" t="str">
        <v>Tiết kiệm</v>
      </c>
      <c r="V27" s="94" t="str">
        <v>Gửi tiết kiệm</v>
      </c>
      <c r="W27" s="95">
        <v>500000</v>
      </c>
      <c r="Y27" s="98">
        <f t="shared" si="4"/>
        <v>45986</v>
      </c>
      <c r="Z27" s="98">
        <f t="shared" si="5"/>
        <v>45955</v>
      </c>
      <c r="AA27" s="101" t="e">
        <f>IF(Table13[[#This Row],[Tháng này]]&lt;=$A$4,SUMIFS(Table10[SỐ TIỀN],Table10[NGÀY CHI],Table13[[#This Row],[Tháng này]]),NA())</f>
        <v>#N/A</v>
      </c>
      <c r="AB27" s="74">
        <f>SUMIFS(Table10[SỐ TIỀN],Table10[NGÀY CHI],Table13[[#This Row],[Tháng trước]])</f>
        <v>193000</v>
      </c>
      <c r="AD27" s="66" t="s">
        <v>21</v>
      </c>
      <c r="AE27" s="66" t="s">
        <v>154</v>
      </c>
      <c r="AF27" s="72">
        <v>1000000</v>
      </c>
      <c r="AG27" s="74">
        <f>IFERROR(VLOOKUP(AD27,_xlfn.VSTACK(Table1[],Table14[],Table16[],Table18[],Table110[]),2,0),0)</f>
        <v>1000000</v>
      </c>
      <c r="AH27" s="108">
        <f t="shared" si="3"/>
        <v>0</v>
      </c>
    </row>
    <row r="28" spans="19:34" ht="24" customHeight="1" x14ac:dyDescent="0.25">
      <c r="S28" s="58">
        <v>45965</v>
      </c>
      <c r="T28" s="66" t="str">
        <v>Chi phí cá nhân</v>
      </c>
      <c r="U28" s="66" t="str">
        <v>Ăn uống</v>
      </c>
      <c r="V28" s="66" t="str">
        <v>Đi chợ</v>
      </c>
      <c r="W28" s="92">
        <v>95000</v>
      </c>
      <c r="Y28" s="98">
        <f t="shared" si="4"/>
        <v>45987</v>
      </c>
      <c r="Z28" s="98">
        <f t="shared" si="5"/>
        <v>45956</v>
      </c>
      <c r="AA28" s="101" t="e">
        <f>IF(Table13[[#This Row],[Tháng này]]&lt;=$A$4,SUMIFS(Table10[SỐ TIỀN],Table10[NGÀY CHI],Table13[[#This Row],[Tháng này]]),NA())</f>
        <v>#N/A</v>
      </c>
      <c r="AB28" s="74">
        <f>SUMIFS(Table10[SỐ TIỀN],Table10[NGÀY CHI],Table13[[#This Row],[Tháng trước]])</f>
        <v>500000</v>
      </c>
      <c r="AD28" s="66" t="s">
        <v>21</v>
      </c>
      <c r="AE28" s="66" t="s">
        <v>155</v>
      </c>
      <c r="AF28" s="72">
        <v>2000000</v>
      </c>
      <c r="AG28" s="74">
        <f>IFERROR(VLOOKUP(AD28,_xlfn.VSTACK(Table1[],Table14[],Table16[],Table18[],Table110[]),2,0),0)</f>
        <v>1000000</v>
      </c>
      <c r="AH28" s="108">
        <f t="shared" si="3"/>
        <v>-1000000</v>
      </c>
    </row>
    <row r="29" spans="19:34" ht="24" customHeight="1" x14ac:dyDescent="0.25">
      <c r="S29" s="93">
        <v>45965</v>
      </c>
      <c r="T29" s="94" t="str">
        <v>Chi phí thiết yếu</v>
      </c>
      <c r="U29" s="94" t="str">
        <v>Đi lại</v>
      </c>
      <c r="V29" s="94" t="str">
        <v>Đổ xăng</v>
      </c>
      <c r="W29" s="95">
        <v>43000</v>
      </c>
      <c r="Y29" s="98">
        <f t="shared" si="4"/>
        <v>45988</v>
      </c>
      <c r="Z29" s="98">
        <f t="shared" si="5"/>
        <v>45957</v>
      </c>
      <c r="AA29" s="101" t="e">
        <f>IF(Table13[[#This Row],[Tháng này]]&lt;=$A$4,SUMIFS(Table10[SỐ TIỀN],Table10[NGÀY CHI],Table13[[#This Row],[Tháng này]]),NA())</f>
        <v>#N/A</v>
      </c>
      <c r="AB29" s="74">
        <f>SUMIFS(Table10[SỐ TIỀN],Table10[NGÀY CHI],Table13[[#This Row],[Tháng trước]])</f>
        <v>94000</v>
      </c>
      <c r="AD29" s="66" t="s">
        <v>21</v>
      </c>
      <c r="AE29" s="66" t="s">
        <v>156</v>
      </c>
      <c r="AF29" s="72">
        <v>1000000</v>
      </c>
      <c r="AG29" s="74">
        <f>IFERROR(VLOOKUP(AD29,_xlfn.VSTACK(Table1[],Table14[],Table16[],Table18[],Table110[]),2,0),0)</f>
        <v>1000000</v>
      </c>
      <c r="AH29" s="108">
        <f t="shared" si="3"/>
        <v>0</v>
      </c>
    </row>
    <row r="30" spans="19:34" ht="24" customHeight="1" x14ac:dyDescent="0.25">
      <c r="S30" s="58">
        <v>45966</v>
      </c>
      <c r="T30" s="66" t="str">
        <v>Chi phí cá nhân</v>
      </c>
      <c r="U30" s="66" t="str">
        <v>Sức khỏe, làm đẹp</v>
      </c>
      <c r="V30" s="66" t="str">
        <v>Sữa rửa mặt</v>
      </c>
      <c r="W30" s="92">
        <v>80000</v>
      </c>
      <c r="Y30" s="98">
        <f t="shared" si="4"/>
        <v>45989</v>
      </c>
      <c r="Z30" s="98">
        <f t="shared" si="5"/>
        <v>45958</v>
      </c>
      <c r="AA30" s="101" t="e">
        <f>IF(Table13[[#This Row],[Tháng này]]&lt;=$A$4,SUMIFS(Table10[SỐ TIỀN],Table10[NGÀY CHI],Table13[[#This Row],[Tháng này]]),NA())</f>
        <v>#N/A</v>
      </c>
      <c r="AB30" s="74">
        <f>SUMIFS(Table10[SỐ TIỀN],Table10[NGÀY CHI],Table13[[#This Row],[Tháng trước]])</f>
        <v>149000</v>
      </c>
      <c r="AD30" s="66" t="s">
        <v>21</v>
      </c>
      <c r="AE30" s="66" t="s">
        <v>157</v>
      </c>
      <c r="AF30" s="72">
        <v>1000000</v>
      </c>
      <c r="AG30" s="74">
        <f>IFERROR(VLOOKUP(AD30,_xlfn.VSTACK(Table1[],Table14[],Table16[],Table18[],Table110[]),2,0),0)</f>
        <v>1000000</v>
      </c>
      <c r="AH30" s="108">
        <f t="shared" si="3"/>
        <v>0</v>
      </c>
    </row>
    <row r="31" spans="19:34" ht="24" customHeight="1" x14ac:dyDescent="0.25">
      <c r="S31" s="93">
        <v>45966</v>
      </c>
      <c r="T31" s="94" t="str">
        <v>Chi phí cá nhân</v>
      </c>
      <c r="U31" s="94" t="str">
        <v>Ăn uống</v>
      </c>
      <c r="V31" s="94" t="str">
        <v>Đi chợ</v>
      </c>
      <c r="W31" s="95">
        <v>102000</v>
      </c>
      <c r="Y31" s="98">
        <f>IF(Y30+1&lt;=EOMONTH($A$3,0),Y30+1,"")</f>
        <v>45990</v>
      </c>
      <c r="Z31" s="98">
        <f>IF(Z30+1&lt;=$B$4,Z30+1,"")</f>
        <v>45959</v>
      </c>
      <c r="AA31" s="101" t="e">
        <f>IF(Table13[[#This Row],[Tháng này]]&lt;=$A$4,SUMIFS(Table10[SỐ TIỀN],Table10[NGÀY CHI],Table13[[#This Row],[Tháng này]]),NA())</f>
        <v>#N/A</v>
      </c>
      <c r="AB31" s="74">
        <f>SUMIFS(Table10[SỐ TIỀN],Table10[NGÀY CHI],Table13[[#This Row],[Tháng trước]])</f>
        <v>164000</v>
      </c>
      <c r="AD31" s="66" t="s">
        <v>21</v>
      </c>
      <c r="AE31" s="66" t="s">
        <v>158</v>
      </c>
      <c r="AF31" s="72">
        <v>3000000</v>
      </c>
      <c r="AG31" s="74">
        <f>IFERROR(VLOOKUP(AD31,_xlfn.VSTACK(Table1[],Table14[],Table16[],Table18[],Table110[]),2,0),0)</f>
        <v>1000000</v>
      </c>
      <c r="AH31" s="108">
        <f t="shared" si="3"/>
        <v>-2000000</v>
      </c>
    </row>
    <row r="32" spans="19:34" ht="24" customHeight="1" x14ac:dyDescent="0.25">
      <c r="S32" s="58">
        <v>45966</v>
      </c>
      <c r="T32" s="66" t="str">
        <v>Giải trí và xã hội</v>
      </c>
      <c r="U32" s="66" t="str">
        <v>Bạn bè, đồng nghiệp</v>
      </c>
      <c r="V32" s="66" t="str">
        <v>Cà phê</v>
      </c>
      <c r="W32" s="92">
        <v>63000</v>
      </c>
      <c r="Y32" s="98">
        <f t="shared" ref="Y32:Y33" si="6">IF(Y31+1&lt;=EOMONTH($A$3,0),Y31+1,"")</f>
        <v>45991</v>
      </c>
      <c r="Z32" s="98">
        <f t="shared" ref="Z32:Z33" si="7">IF(Z31+1&lt;=$B$4,Z31+1,"")</f>
        <v>45960</v>
      </c>
      <c r="AA32" s="101" t="e">
        <f>IF(Table13[[#This Row],[Tháng này]]&lt;=$A$4,SUMIFS(Table10[SỐ TIỀN],Table10[NGÀY CHI],Table13[[#This Row],[Tháng này]]),NA())</f>
        <v>#N/A</v>
      </c>
      <c r="AB32" s="74">
        <f>SUMIFS(Table10[SỐ TIỀN],Table10[NGÀY CHI],Table13[[#This Row],[Tháng trước]])</f>
        <v>197000</v>
      </c>
      <c r="AD32" s="66" t="s">
        <v>21</v>
      </c>
      <c r="AE32" s="66" t="s">
        <v>150</v>
      </c>
      <c r="AF32" s="72">
        <v>1000000</v>
      </c>
      <c r="AG32" s="74">
        <f>IFERROR(VLOOKUP(AD32,_xlfn.VSTACK(Table1[],Table14[],Table16[],Table18[],Table110[]),2,0),0)</f>
        <v>1000000</v>
      </c>
      <c r="AH32" s="108">
        <f t="shared" si="3"/>
        <v>0</v>
      </c>
    </row>
    <row r="33" spans="19:34" ht="24" customHeight="1" x14ac:dyDescent="0.25">
      <c r="S33" s="93">
        <v>45967</v>
      </c>
      <c r="T33" s="94" t="str">
        <v>Giải trí và xã hội</v>
      </c>
      <c r="U33" s="94" t="str">
        <v>Du lịch</v>
      </c>
      <c r="V33" s="94" t="str">
        <v>Quỹ du lịch</v>
      </c>
      <c r="W33" s="95">
        <v>500000</v>
      </c>
      <c r="Y33" s="98" t="str">
        <f t="shared" si="6"/>
        <v/>
      </c>
      <c r="Z33" s="98">
        <f t="shared" si="7"/>
        <v>45961</v>
      </c>
      <c r="AA33" s="101" t="e">
        <f>IF(Table13[[#This Row],[Tháng này]]&lt;=$A$4,SUMIFS(Table10[SỐ TIỀN],Table10[NGÀY CHI],Table13[[#This Row],[Tháng này]]),NA())</f>
        <v>#N/A</v>
      </c>
      <c r="AB33" s="74">
        <f>SUMIFS(Table10[SỐ TIỀN],Table10[NGÀY CHI],Table13[[#This Row],[Tháng trước]])</f>
        <v>0</v>
      </c>
      <c r="AD33" s="66" t="s">
        <v>21</v>
      </c>
      <c r="AE33" s="66" t="s">
        <v>159</v>
      </c>
      <c r="AF33" s="72">
        <v>1000000</v>
      </c>
      <c r="AG33" s="74">
        <f>IFERROR(VLOOKUP(AD33,_xlfn.VSTACK(Table1[],Table14[],Table16[],Table18[],Table110[]),2,0),0)</f>
        <v>1000000</v>
      </c>
      <c r="AH33" s="108">
        <f t="shared" si="3"/>
        <v>0</v>
      </c>
    </row>
    <row r="34" spans="19:34" ht="24" customHeight="1" x14ac:dyDescent="0.25">
      <c r="S34" s="58">
        <v>45967</v>
      </c>
      <c r="T34" s="66" t="str">
        <v>Giải trí và xã hội</v>
      </c>
      <c r="U34" s="66" t="str">
        <v>Mua sắm</v>
      </c>
      <c r="V34" s="66" t="str">
        <v>Mua tất</v>
      </c>
      <c r="W34" s="92">
        <v>47000</v>
      </c>
      <c r="AD34" s="66" t="s">
        <v>21</v>
      </c>
      <c r="AE34" s="66" t="s">
        <v>160</v>
      </c>
      <c r="AF34" s="72">
        <v>1000000</v>
      </c>
      <c r="AG34" s="74">
        <f>IFERROR(VLOOKUP(AD34,_xlfn.VSTACK(Table1[],Table14[],Table16[],Table18[],Table110[]),2,0),0)</f>
        <v>1000000</v>
      </c>
      <c r="AH34" s="108">
        <f t="shared" si="3"/>
        <v>0</v>
      </c>
    </row>
    <row r="35" spans="19:34" ht="24" customHeight="1" x14ac:dyDescent="0.25">
      <c r="S35" s="93">
        <v>45968</v>
      </c>
      <c r="T35" s="94" t="str">
        <v>Chi phí thiết yếu</v>
      </c>
      <c r="U35" s="94" t="str">
        <v>Đi lại</v>
      </c>
      <c r="V35" s="94" t="str">
        <v>Đổ xăng</v>
      </c>
      <c r="W35" s="95">
        <v>49000</v>
      </c>
      <c r="AD35" s="66" t="s">
        <v>21</v>
      </c>
      <c r="AE35" s="66" t="s">
        <v>161</v>
      </c>
      <c r="AF35" s="72">
        <v>1000000</v>
      </c>
      <c r="AG35" s="74">
        <f>IFERROR(VLOOKUP(AD35,_xlfn.VSTACK(Table1[],Table14[],Table16[],Table18[],Table110[]),2,0),0)</f>
        <v>1000000</v>
      </c>
      <c r="AH35" s="108">
        <f t="shared" si="3"/>
        <v>0</v>
      </c>
    </row>
    <row r="36" spans="19:34" ht="24" customHeight="1" x14ac:dyDescent="0.25">
      <c r="S36" s="58">
        <v>45968</v>
      </c>
      <c r="T36" s="66" t="str">
        <v>Chi phí thiết yếu</v>
      </c>
      <c r="U36" s="66" t="str">
        <v>Đi lại</v>
      </c>
      <c r="V36" s="66" t="str">
        <v>Thay dầu</v>
      </c>
      <c r="W36" s="92">
        <v>94000</v>
      </c>
      <c r="AD36" s="66" t="s">
        <v>5</v>
      </c>
      <c r="AE36" s="66" t="s">
        <v>152</v>
      </c>
      <c r="AF36" s="72">
        <v>570000</v>
      </c>
      <c r="AG36" s="74">
        <f>IFERROR(VLOOKUP(AD36,_xlfn.VSTACK(Table1[],Table14[],Table16[],Table18[],Table110[]),2,0),0)</f>
        <v>600000</v>
      </c>
      <c r="AH36" s="108">
        <f t="shared" si="3"/>
        <v>30000</v>
      </c>
    </row>
    <row r="37" spans="19:34" ht="24" customHeight="1" x14ac:dyDescent="0.25">
      <c r="S37" s="93">
        <v>45968</v>
      </c>
      <c r="T37" s="94" t="str">
        <v>Chi phí thiết yếu</v>
      </c>
      <c r="U37" s="94" t="str">
        <v>Đi lại</v>
      </c>
      <c r="V37" s="94" t="str">
        <v>Rửa xe</v>
      </c>
      <c r="W37" s="95">
        <v>18000</v>
      </c>
      <c r="AD37" s="66" t="s">
        <v>5</v>
      </c>
      <c r="AE37" s="66" t="s">
        <v>153</v>
      </c>
      <c r="AF37" s="72">
        <v>530000</v>
      </c>
      <c r="AG37" s="74">
        <f>IFERROR(VLOOKUP(AD37,_xlfn.VSTACK(Table1[],Table14[],Table16[],Table18[],Table110[]),2,0),0)</f>
        <v>600000</v>
      </c>
      <c r="AH37" s="108">
        <f t="shared" si="3"/>
        <v>70000</v>
      </c>
    </row>
    <row r="38" spans="19:34" ht="24" customHeight="1" x14ac:dyDescent="0.25">
      <c r="S38" s="58">
        <v>45968</v>
      </c>
      <c r="T38" s="66" t="str">
        <v>Chi phí cá nhân</v>
      </c>
      <c r="U38" s="66" t="str">
        <v>Ăn uống</v>
      </c>
      <c r="V38" s="66" t="str">
        <v>Đi chợ</v>
      </c>
      <c r="W38" s="92">
        <v>94000</v>
      </c>
      <c r="AD38" s="66" t="s">
        <v>5</v>
      </c>
      <c r="AE38" s="66" t="s">
        <v>154</v>
      </c>
      <c r="AF38" s="72">
        <v>818000</v>
      </c>
      <c r="AG38" s="74">
        <f>IFERROR(VLOOKUP(AD38,_xlfn.VSTACK(Table1[],Table14[],Table16[],Table18[],Table110[]),2,0),0)</f>
        <v>600000</v>
      </c>
      <c r="AH38" s="108">
        <f t="shared" si="3"/>
        <v>-218000</v>
      </c>
    </row>
    <row r="39" spans="19:34" ht="24" customHeight="1" x14ac:dyDescent="0.25">
      <c r="S39" s="93">
        <v>45968</v>
      </c>
      <c r="T39" s="94" t="str">
        <v>Giải trí và xã hội</v>
      </c>
      <c r="U39" s="94" t="str">
        <v>Giải trí</v>
      </c>
      <c r="V39" s="94" t="str">
        <v>đi xem phim</v>
      </c>
      <c r="W39" s="95">
        <v>190000</v>
      </c>
      <c r="AD39" s="66" t="s">
        <v>5</v>
      </c>
      <c r="AE39" s="66" t="s">
        <v>155</v>
      </c>
      <c r="AF39" s="72">
        <v>666000</v>
      </c>
      <c r="AG39" s="74">
        <f>IFERROR(VLOOKUP(AD39,_xlfn.VSTACK(Table1[],Table14[],Table16[],Table18[],Table110[]),2,0),0)</f>
        <v>600000</v>
      </c>
      <c r="AH39" s="108">
        <f t="shared" si="3"/>
        <v>-66000</v>
      </c>
    </row>
    <row r="40" spans="19:34" ht="24" customHeight="1" x14ac:dyDescent="0.25">
      <c r="S40" s="58">
        <v>45969</v>
      </c>
      <c r="T40" s="66" t="str">
        <v>Tiết kiệm, đầu tư</v>
      </c>
      <c r="U40" s="66" t="str">
        <v>Đầu tư</v>
      </c>
      <c r="V40" s="66" t="str">
        <v>Mua cổ phiếu</v>
      </c>
      <c r="W40" s="92">
        <v>500000</v>
      </c>
      <c r="AD40" s="66" t="s">
        <v>5</v>
      </c>
      <c r="AE40" s="66" t="s">
        <v>156</v>
      </c>
      <c r="AF40" s="72">
        <v>670000</v>
      </c>
      <c r="AG40" s="74">
        <f>IFERROR(VLOOKUP(AD40,_xlfn.VSTACK(Table1[],Table14[],Table16[],Table18[],Table110[]),2,0),0)</f>
        <v>600000</v>
      </c>
      <c r="AH40" s="108">
        <f t="shared" si="3"/>
        <v>-70000</v>
      </c>
    </row>
    <row r="41" spans="19:34" ht="24" customHeight="1" x14ac:dyDescent="0.25">
      <c r="S41" s="93">
        <v>45971</v>
      </c>
      <c r="T41" s="94" t="str">
        <v>Tiết kiệm, đầu tư</v>
      </c>
      <c r="U41" s="94" t="str">
        <v>Đầu tư</v>
      </c>
      <c r="V41" s="94" t="str">
        <v>Mua cổ phiếu</v>
      </c>
      <c r="W41" s="95">
        <v>500000</v>
      </c>
      <c r="AD41" s="66" t="s">
        <v>5</v>
      </c>
      <c r="AE41" s="66" t="s">
        <v>157</v>
      </c>
      <c r="AF41" s="72">
        <v>678000</v>
      </c>
      <c r="AG41" s="74">
        <f>IFERROR(VLOOKUP(AD41,_xlfn.VSTACK(Table1[],Table14[],Table16[],Table18[],Table110[]),2,0),0)</f>
        <v>600000</v>
      </c>
      <c r="AH41" s="108">
        <f t="shared" si="3"/>
        <v>-78000</v>
      </c>
    </row>
    <row r="42" spans="19:34" ht="24" customHeight="1" x14ac:dyDescent="0.25">
      <c r="S42" s="58">
        <v>45969</v>
      </c>
      <c r="T42" s="66" t="str">
        <v>Giải trí và xã hội</v>
      </c>
      <c r="U42" s="66" t="str">
        <v>Bạn bè, đồng nghiệp</v>
      </c>
      <c r="V42" s="66" t="str">
        <v>Cà phê</v>
      </c>
      <c r="W42" s="92">
        <v>51000</v>
      </c>
      <c r="AD42" s="66" t="s">
        <v>5</v>
      </c>
      <c r="AE42" s="66" t="s">
        <v>158</v>
      </c>
      <c r="AF42" s="72">
        <v>696000</v>
      </c>
      <c r="AG42" s="74">
        <f>IFERROR(VLOOKUP(AD42,_xlfn.VSTACK(Table1[],Table14[],Table16[],Table18[],Table110[]),2,0),0)</f>
        <v>600000</v>
      </c>
      <c r="AH42" s="108">
        <f t="shared" si="3"/>
        <v>-96000</v>
      </c>
    </row>
    <row r="43" spans="19:34" ht="24" customHeight="1" x14ac:dyDescent="0.25">
      <c r="S43" s="93">
        <v>45970</v>
      </c>
      <c r="T43" s="94" t="str">
        <v>Chi phí thiết yếu</v>
      </c>
      <c r="U43" s="94" t="str">
        <v>Đi lại</v>
      </c>
      <c r="V43" s="94" t="str">
        <v>Đổ xăng</v>
      </c>
      <c r="W43" s="95">
        <v>41000</v>
      </c>
      <c r="AD43" s="66" t="s">
        <v>5</v>
      </c>
      <c r="AE43" s="66" t="s">
        <v>150</v>
      </c>
      <c r="AF43" s="72">
        <v>665000</v>
      </c>
      <c r="AG43" s="74">
        <f>IFERROR(VLOOKUP(AD43,_xlfn.VSTACK(Table1[],Table14[],Table16[],Table18[],Table110[]),2,0),0)</f>
        <v>600000</v>
      </c>
      <c r="AH43" s="108">
        <f t="shared" si="3"/>
        <v>-65000</v>
      </c>
    </row>
    <row r="44" spans="19:34" ht="24" customHeight="1" x14ac:dyDescent="0.25">
      <c r="S44" s="58">
        <v>45970</v>
      </c>
      <c r="T44" s="66" t="str">
        <v>Chi phí cá nhân</v>
      </c>
      <c r="U44" s="66" t="str">
        <v>Ăn uống</v>
      </c>
      <c r="V44" s="66" t="str">
        <v>Đi chợ</v>
      </c>
      <c r="W44" s="92">
        <v>113000</v>
      </c>
      <c r="AD44" s="66" t="s">
        <v>5</v>
      </c>
      <c r="AE44" s="66" t="s">
        <v>159</v>
      </c>
      <c r="AF44" s="72">
        <v>636000</v>
      </c>
      <c r="AG44" s="74">
        <f>IFERROR(VLOOKUP(AD44,_xlfn.VSTACK(Table1[],Table14[],Table16[],Table18[],Table110[]),2,0),0)</f>
        <v>600000</v>
      </c>
      <c r="AH44" s="108">
        <f t="shared" si="3"/>
        <v>-36000</v>
      </c>
    </row>
    <row r="45" spans="19:34" ht="24" customHeight="1" x14ac:dyDescent="0.25">
      <c r="S45" s="93">
        <v>45971</v>
      </c>
      <c r="T45" s="94" t="str">
        <v>Chi phí cá nhân</v>
      </c>
      <c r="U45" s="94" t="str">
        <v>Sức khỏe, làm đẹp</v>
      </c>
      <c r="V45" s="94" t="str">
        <v>Gội đầu</v>
      </c>
      <c r="W45" s="95">
        <v>53000</v>
      </c>
      <c r="AD45" s="66" t="s">
        <v>5</v>
      </c>
      <c r="AE45" s="66" t="s">
        <v>160</v>
      </c>
      <c r="AF45" s="72">
        <v>611000</v>
      </c>
      <c r="AG45" s="74">
        <f>IFERROR(VLOOKUP(AD45,_xlfn.VSTACK(Table1[],Table14[],Table16[],Table18[],Table110[]),2,0),0)</f>
        <v>600000</v>
      </c>
      <c r="AH45" s="108">
        <f t="shared" si="3"/>
        <v>-11000</v>
      </c>
    </row>
    <row r="46" spans="19:34" ht="24" customHeight="1" x14ac:dyDescent="0.25">
      <c r="S46" s="58">
        <v>45972</v>
      </c>
      <c r="T46" s="66" t="str">
        <v>Giải trí và xã hội</v>
      </c>
      <c r="U46" s="66" t="str">
        <v>Giải trí</v>
      </c>
      <c r="V46" s="66" t="str">
        <v>Gói Netflix</v>
      </c>
      <c r="W46" s="92">
        <v>258000</v>
      </c>
      <c r="AD46" s="66" t="s">
        <v>5</v>
      </c>
      <c r="AE46" s="66" t="s">
        <v>161</v>
      </c>
      <c r="AF46" s="72">
        <v>380000</v>
      </c>
      <c r="AG46" s="74">
        <f>IFERROR(VLOOKUP(AD46,_xlfn.VSTACK(Table1[],Table14[],Table16[],Table18[],Table110[]),2,0),0)</f>
        <v>600000</v>
      </c>
      <c r="AH46" s="108">
        <f t="shared" si="3"/>
        <v>220000</v>
      </c>
    </row>
    <row r="47" spans="19:34" ht="24" customHeight="1" x14ac:dyDescent="0.25">
      <c r="S47" s="93">
        <v>45972</v>
      </c>
      <c r="T47" s="94" t="str">
        <v>Chi phí cá nhân</v>
      </c>
      <c r="U47" s="94" t="str">
        <v>Ăn uống</v>
      </c>
      <c r="V47" s="94" t="str">
        <v>Đi chợ</v>
      </c>
      <c r="W47" s="95">
        <v>106000</v>
      </c>
      <c r="AD47" s="66" t="s">
        <v>15</v>
      </c>
      <c r="AE47" s="66" t="s">
        <v>152</v>
      </c>
      <c r="AF47" s="72">
        <v>500000</v>
      </c>
      <c r="AG47" s="74">
        <f>IFERROR(VLOOKUP(AD47,_xlfn.VSTACK(Table1[],Table14[],Table16[],Table18[],Table110[]),2,0),0)</f>
        <v>500000</v>
      </c>
      <c r="AH47" s="108">
        <f t="shared" si="3"/>
        <v>0</v>
      </c>
    </row>
    <row r="48" spans="19:34" ht="24" customHeight="1" x14ac:dyDescent="0.25">
      <c r="S48" s="58">
        <v>45972</v>
      </c>
      <c r="T48" s="66" t="str">
        <v>Giải trí và xã hội</v>
      </c>
      <c r="U48" s="66" t="str">
        <v>Bạn bè, đồng nghiệp</v>
      </c>
      <c r="V48" s="66" t="str">
        <v>Cà phê</v>
      </c>
      <c r="W48" s="92">
        <v>61000</v>
      </c>
      <c r="AD48" s="66" t="s">
        <v>15</v>
      </c>
      <c r="AE48" s="66" t="s">
        <v>153</v>
      </c>
      <c r="AF48" s="72">
        <v>500000</v>
      </c>
      <c r="AG48" s="74">
        <f>IFERROR(VLOOKUP(AD48,_xlfn.VSTACK(Table1[],Table14[],Table16[],Table18[],Table110[]),2,0),0)</f>
        <v>500000</v>
      </c>
      <c r="AH48" s="108">
        <f t="shared" si="3"/>
        <v>0</v>
      </c>
    </row>
    <row r="49" spans="19:34" ht="24" customHeight="1" x14ac:dyDescent="0.25">
      <c r="S49" s="93">
        <v>45973</v>
      </c>
      <c r="T49" s="94" t="str">
        <v>Giải trí và xã hội</v>
      </c>
      <c r="U49" s="94" t="str">
        <v>Mua sắm</v>
      </c>
      <c r="V49" s="94" t="str">
        <v>Đồ lót</v>
      </c>
      <c r="W49" s="95">
        <v>102000</v>
      </c>
      <c r="AD49" s="66" t="s">
        <v>15</v>
      </c>
      <c r="AE49" s="66" t="s">
        <v>154</v>
      </c>
      <c r="AF49" s="72">
        <v>500000</v>
      </c>
      <c r="AG49" s="74">
        <f>IFERROR(VLOOKUP(AD49,_xlfn.VSTACK(Table1[],Table14[],Table16[],Table18[],Table110[]),2,0),0)</f>
        <v>500000</v>
      </c>
      <c r="AH49" s="108">
        <f t="shared" si="3"/>
        <v>0</v>
      </c>
    </row>
    <row r="50" spans="19:34" ht="24" customHeight="1" x14ac:dyDescent="0.25">
      <c r="S50" s="58">
        <v>45974</v>
      </c>
      <c r="T50" s="66" t="str">
        <v>Chi phí cá nhân</v>
      </c>
      <c r="U50" s="66" t="str">
        <v>Ăn uống</v>
      </c>
      <c r="V50" s="66" t="str">
        <v>Đi chợ</v>
      </c>
      <c r="W50" s="92">
        <v>155000</v>
      </c>
      <c r="AD50" s="66" t="s">
        <v>15</v>
      </c>
      <c r="AE50" s="66" t="s">
        <v>155</v>
      </c>
      <c r="AF50" s="72">
        <v>500000</v>
      </c>
      <c r="AG50" s="74">
        <f>IFERROR(VLOOKUP(AD50,_xlfn.VSTACK(Table1[],Table14[],Table16[],Table18[],Table110[]),2,0),0)</f>
        <v>500000</v>
      </c>
      <c r="AH50" s="108">
        <f t="shared" si="3"/>
        <v>0</v>
      </c>
    </row>
    <row r="51" spans="19:34" ht="24" customHeight="1" x14ac:dyDescent="0.25">
      <c r="S51" s="93">
        <v>45975</v>
      </c>
      <c r="T51" s="94" t="str">
        <v>Giải trí và xã hội</v>
      </c>
      <c r="U51" s="94" t="str">
        <v>Bạn bè, đồng nghiệp</v>
      </c>
      <c r="V51" s="94" t="str">
        <v>Cà phê</v>
      </c>
      <c r="W51" s="95">
        <v>53000</v>
      </c>
      <c r="AD51" s="66" t="s">
        <v>15</v>
      </c>
      <c r="AE51" s="66" t="s">
        <v>156</v>
      </c>
      <c r="AF51" s="72">
        <v>500000</v>
      </c>
      <c r="AG51" s="74">
        <f>IFERROR(VLOOKUP(AD51,_xlfn.VSTACK(Table1[],Table14[],Table16[],Table18[],Table110[]),2,0),0)</f>
        <v>500000</v>
      </c>
      <c r="AH51" s="108">
        <f t="shared" si="3"/>
        <v>0</v>
      </c>
    </row>
    <row r="52" spans="19:34" ht="24" customHeight="1" x14ac:dyDescent="0.25">
      <c r="S52" s="58">
        <v>45976</v>
      </c>
      <c r="T52" s="66" t="str">
        <v>Chi phí thiết yếu</v>
      </c>
      <c r="U52" s="66" t="str">
        <v>Đi lại</v>
      </c>
      <c r="V52" s="66" t="str">
        <v>Đổ xăng</v>
      </c>
      <c r="W52" s="92">
        <v>49000</v>
      </c>
      <c r="AD52" s="66" t="s">
        <v>15</v>
      </c>
      <c r="AE52" s="66" t="s">
        <v>157</v>
      </c>
      <c r="AF52" s="72">
        <v>500000</v>
      </c>
      <c r="AG52" s="74">
        <f>IFERROR(VLOOKUP(AD52,_xlfn.VSTACK(Table1[],Table14[],Table16[],Table18[],Table110[]),2,0),0)</f>
        <v>500000</v>
      </c>
      <c r="AH52" s="108">
        <f t="shared" si="3"/>
        <v>0</v>
      </c>
    </row>
    <row r="53" spans="19:34" ht="24" customHeight="1" x14ac:dyDescent="0.25">
      <c r="S53" s="93">
        <v>45976</v>
      </c>
      <c r="T53" s="94" t="str">
        <v>Chi phí cá nhân</v>
      </c>
      <c r="U53" s="94" t="str">
        <v>Học tập, phát triển</v>
      </c>
      <c r="V53" s="94" t="str">
        <v>Sách Nhà Giả Kim</v>
      </c>
      <c r="W53" s="95">
        <v>104000</v>
      </c>
      <c r="AD53" s="66" t="s">
        <v>15</v>
      </c>
      <c r="AE53" s="66" t="s">
        <v>158</v>
      </c>
      <c r="AF53" s="72">
        <v>500000</v>
      </c>
      <c r="AG53" s="74">
        <f>IFERROR(VLOOKUP(AD53,_xlfn.VSTACK(Table1[],Table14[],Table16[],Table18[],Table110[]),2,0),0)</f>
        <v>500000</v>
      </c>
      <c r="AH53" s="108">
        <f t="shared" si="3"/>
        <v>0</v>
      </c>
    </row>
    <row r="54" spans="19:34" ht="24" customHeight="1" x14ac:dyDescent="0.25">
      <c r="S54" s="58">
        <v>45977</v>
      </c>
      <c r="T54" s="66" t="str">
        <v>Chi phí cá nhân</v>
      </c>
      <c r="U54" s="66" t="str">
        <v>Ăn uống</v>
      </c>
      <c r="V54" s="66" t="str">
        <v>Đi chợ</v>
      </c>
      <c r="W54" s="92">
        <v>177000</v>
      </c>
      <c r="AD54" s="66" t="s">
        <v>15</v>
      </c>
      <c r="AE54" s="66" t="s">
        <v>150</v>
      </c>
      <c r="AF54" s="72">
        <v>500000</v>
      </c>
      <c r="AG54" s="74">
        <f>IFERROR(VLOOKUP(AD54,_xlfn.VSTACK(Table1[],Table14[],Table16[],Table18[],Table110[]),2,0),0)</f>
        <v>500000</v>
      </c>
      <c r="AH54" s="108">
        <f t="shared" si="3"/>
        <v>0</v>
      </c>
    </row>
    <row r="55" spans="19:34" ht="24" customHeight="1" x14ac:dyDescent="0.25">
      <c r="S55" s="93">
        <v>45978</v>
      </c>
      <c r="T55" s="94" t="str">
        <v>Chi phí cá nhân</v>
      </c>
      <c r="U55" s="94" t="str">
        <v>Ăn uống</v>
      </c>
      <c r="V55" s="94" t="str">
        <v>Đi chợ</v>
      </c>
      <c r="W55" s="95">
        <v>133000</v>
      </c>
      <c r="AD55" s="66" t="s">
        <v>15</v>
      </c>
      <c r="AE55" s="66" t="s">
        <v>159</v>
      </c>
      <c r="AF55" s="72">
        <v>500000</v>
      </c>
      <c r="AG55" s="74">
        <f>IFERROR(VLOOKUP(AD55,_xlfn.VSTACK(Table1[],Table14[],Table16[],Table18[],Table110[]),2,0),0)</f>
        <v>500000</v>
      </c>
      <c r="AH55" s="108">
        <f t="shared" si="3"/>
        <v>0</v>
      </c>
    </row>
    <row r="56" spans="19:34" ht="24" customHeight="1" x14ac:dyDescent="0.25">
      <c r="S56" s="58">
        <v>45979</v>
      </c>
      <c r="T56" s="66" t="str">
        <v>Giải trí và xã hội</v>
      </c>
      <c r="U56" s="66" t="str">
        <v>Bạn bè, đồng nghiệp</v>
      </c>
      <c r="V56" s="66" t="str">
        <v>Cà phê</v>
      </c>
      <c r="W56" s="92">
        <v>62000</v>
      </c>
      <c r="AD56" s="66" t="s">
        <v>15</v>
      </c>
      <c r="AE56" s="66" t="s">
        <v>160</v>
      </c>
      <c r="AF56" s="72">
        <v>500000</v>
      </c>
      <c r="AG56" s="74">
        <f>IFERROR(VLOOKUP(AD56,_xlfn.VSTACK(Table1[],Table14[],Table16[],Table18[],Table110[]),2,0),0)</f>
        <v>500000</v>
      </c>
      <c r="AH56" s="108">
        <f t="shared" si="3"/>
        <v>0</v>
      </c>
    </row>
    <row r="57" spans="19:34" ht="24" customHeight="1" x14ac:dyDescent="0.25">
      <c r="S57" s="93">
        <v>45980</v>
      </c>
      <c r="T57" s="94" t="str">
        <v>Chi phí cá nhân</v>
      </c>
      <c r="U57" s="94" t="str">
        <v>Ăn uống</v>
      </c>
      <c r="V57" s="94" t="str">
        <v>Đi chợ</v>
      </c>
      <c r="W57" s="95">
        <v>100000</v>
      </c>
      <c r="AD57" s="66" t="s">
        <v>15</v>
      </c>
      <c r="AE57" s="66" t="s">
        <v>161</v>
      </c>
      <c r="AF57" s="72">
        <v>500000</v>
      </c>
      <c r="AG57" s="74">
        <f>IFERROR(VLOOKUP(AD57,_xlfn.VSTACK(Table1[],Table14[],Table16[],Table18[],Table110[]),2,0),0)</f>
        <v>500000</v>
      </c>
      <c r="AH57" s="108">
        <f t="shared" si="3"/>
        <v>0</v>
      </c>
    </row>
    <row r="58" spans="19:34" ht="24" customHeight="1" x14ac:dyDescent="0.25">
      <c r="S58" s="58">
        <v>45981</v>
      </c>
      <c r="T58" s="66" t="str">
        <v>Chi phí thiết yếu</v>
      </c>
      <c r="U58" s="66" t="str">
        <v>Đi lại</v>
      </c>
      <c r="V58" s="66" t="str">
        <v>Đổ xăng</v>
      </c>
      <c r="W58" s="92">
        <v>40000</v>
      </c>
      <c r="AD58" s="66" t="s">
        <v>16</v>
      </c>
      <c r="AE58" s="66" t="s">
        <v>152</v>
      </c>
      <c r="AF58" s="72">
        <v>420000</v>
      </c>
      <c r="AG58" s="74">
        <f>IFERROR(VLOOKUP(AD58,_xlfn.VSTACK(Table1[],Table14[],Table16[],Table18[],Table110[]),2,0),0)</f>
        <v>500000</v>
      </c>
      <c r="AH58" s="108">
        <f t="shared" si="3"/>
        <v>80000</v>
      </c>
    </row>
    <row r="59" spans="19:34" ht="24" customHeight="1" x14ac:dyDescent="0.25">
      <c r="S59" s="93">
        <v>45981</v>
      </c>
      <c r="T59" s="94" t="str">
        <v>Chi phí cá nhân</v>
      </c>
      <c r="U59" s="94" t="str">
        <v>Sức khỏe, làm đẹp</v>
      </c>
      <c r="V59" s="94" t="str">
        <v>Kem đánh răng</v>
      </c>
      <c r="W59" s="95">
        <v>61000</v>
      </c>
      <c r="AD59" s="66" t="s">
        <v>16</v>
      </c>
      <c r="AE59" s="66" t="s">
        <v>153</v>
      </c>
      <c r="AF59" s="72">
        <v>425000</v>
      </c>
      <c r="AG59" s="74">
        <f>IFERROR(VLOOKUP(AD59,_xlfn.VSTACK(Table1[],Table14[],Table16[],Table18[],Table110[]),2,0),0)</f>
        <v>500000</v>
      </c>
      <c r="AH59" s="108">
        <f t="shared" si="3"/>
        <v>75000</v>
      </c>
    </row>
    <row r="60" spans="19:34" ht="24" customHeight="1" x14ac:dyDescent="0.25">
      <c r="S60" s="58">
        <v>45981</v>
      </c>
      <c r="T60" s="66" t="str">
        <v>Giải trí và xã hội</v>
      </c>
      <c r="U60" s="66" t="str">
        <v>Bạn bè, đồng nghiệp</v>
      </c>
      <c r="V60" s="66" t="str">
        <v>Cà phê</v>
      </c>
      <c r="W60" s="92">
        <v>50000</v>
      </c>
      <c r="AD60" s="66" t="s">
        <v>16</v>
      </c>
      <c r="AE60" s="66" t="s">
        <v>154</v>
      </c>
      <c r="AF60" s="72">
        <v>245000</v>
      </c>
      <c r="AG60" s="74">
        <f>IFERROR(VLOOKUP(AD60,_xlfn.VSTACK(Table1[],Table14[],Table16[],Table18[],Table110[]),2,0),0)</f>
        <v>500000</v>
      </c>
      <c r="AH60" s="108">
        <f t="shared" si="3"/>
        <v>255000</v>
      </c>
    </row>
    <row r="61" spans="19:34" ht="24" customHeight="1" x14ac:dyDescent="0.25">
      <c r="S61" s="93">
        <v>45982</v>
      </c>
      <c r="T61" s="94" t="str">
        <v>Quà tặng, hiếu, hỉ</v>
      </c>
      <c r="U61" s="94" t="str">
        <v>Hiếu, hỉ</v>
      </c>
      <c r="V61" s="94" t="str">
        <v>Đám cưới đồng nghiệp</v>
      </c>
      <c r="W61" s="95">
        <v>500000</v>
      </c>
      <c r="AD61" s="66" t="s">
        <v>16</v>
      </c>
      <c r="AE61" s="66" t="s">
        <v>155</v>
      </c>
      <c r="AF61" s="72">
        <v>470000</v>
      </c>
      <c r="AG61" s="74">
        <f>IFERROR(VLOOKUP(AD61,_xlfn.VSTACK(Table1[],Table14[],Table16[],Table18[],Table110[]),2,0),0)</f>
        <v>500000</v>
      </c>
      <c r="AH61" s="108">
        <f t="shared" si="3"/>
        <v>30000</v>
      </c>
    </row>
    <row r="62" spans="19:34" ht="24" customHeight="1" x14ac:dyDescent="0.25">
      <c r="S62" s="58">
        <v>45983</v>
      </c>
      <c r="T62" s="66" t="str">
        <v>Quà tặng, hiếu, hỉ</v>
      </c>
      <c r="U62" s="66" t="str">
        <v>Quà tặng</v>
      </c>
      <c r="V62" s="66" t="str">
        <v>Quà tặng người yêu</v>
      </c>
      <c r="W62" s="92">
        <v>300000</v>
      </c>
      <c r="AD62" s="66" t="s">
        <v>16</v>
      </c>
      <c r="AE62" s="66" t="s">
        <v>156</v>
      </c>
      <c r="AF62" s="72">
        <v>449000</v>
      </c>
      <c r="AG62" s="74">
        <f>IFERROR(VLOOKUP(AD62,_xlfn.VSTACK(Table1[],Table14[],Table16[],Table18[],Table110[]),2,0),0)</f>
        <v>500000</v>
      </c>
      <c r="AH62" s="108">
        <f t="shared" si="3"/>
        <v>51000</v>
      </c>
    </row>
    <row r="63" spans="19:34" ht="24" customHeight="1" x14ac:dyDescent="0.25">
      <c r="S63" s="93"/>
      <c r="T63" s="94"/>
      <c r="U63" s="94"/>
      <c r="V63" s="94"/>
      <c r="W63" s="95"/>
      <c r="AD63" s="66" t="s">
        <v>16</v>
      </c>
      <c r="AE63" s="66" t="s">
        <v>157</v>
      </c>
      <c r="AF63" s="72">
        <v>430000</v>
      </c>
      <c r="AG63" s="74">
        <f>IFERROR(VLOOKUP(AD63,_xlfn.VSTACK(Table1[],Table14[],Table16[],Table18[],Table110[]),2,0),0)</f>
        <v>500000</v>
      </c>
      <c r="AH63" s="108">
        <f t="shared" si="3"/>
        <v>70000</v>
      </c>
    </row>
    <row r="64" spans="19:34" ht="24" customHeight="1" x14ac:dyDescent="0.25">
      <c r="S64" s="58"/>
      <c r="T64" s="66"/>
      <c r="U64" s="66"/>
      <c r="V64" s="66"/>
      <c r="W64" s="92"/>
      <c r="AD64" s="66" t="s">
        <v>16</v>
      </c>
      <c r="AE64" s="66" t="s">
        <v>158</v>
      </c>
      <c r="AF64" s="72">
        <v>400000</v>
      </c>
      <c r="AG64" s="74">
        <f>IFERROR(VLOOKUP(AD64,_xlfn.VSTACK(Table1[],Table14[],Table16[],Table18[],Table110[]),2,0),0)</f>
        <v>500000</v>
      </c>
      <c r="AH64" s="108">
        <f t="shared" si="3"/>
        <v>100000</v>
      </c>
    </row>
    <row r="65" spans="19:34" ht="24" customHeight="1" x14ac:dyDescent="0.25">
      <c r="S65" s="93"/>
      <c r="T65" s="94"/>
      <c r="U65" s="94"/>
      <c r="V65" s="94"/>
      <c r="W65" s="95"/>
      <c r="AD65" s="66" t="s">
        <v>16</v>
      </c>
      <c r="AE65" s="66" t="s">
        <v>150</v>
      </c>
      <c r="AF65" s="72">
        <v>521000</v>
      </c>
      <c r="AG65" s="74">
        <f>IFERROR(VLOOKUP(AD65,_xlfn.VSTACK(Table1[],Table14[],Table16[],Table18[],Table110[]),2,0),0)</f>
        <v>500000</v>
      </c>
      <c r="AH65" s="108">
        <f t="shared" si="3"/>
        <v>-21000</v>
      </c>
    </row>
    <row r="66" spans="19:34" ht="24" customHeight="1" x14ac:dyDescent="0.25">
      <c r="S66" s="58"/>
      <c r="T66" s="66"/>
      <c r="U66" s="66"/>
      <c r="V66" s="66"/>
      <c r="W66" s="92"/>
      <c r="AD66" s="66" t="s">
        <v>16</v>
      </c>
      <c r="AE66" s="66" t="s">
        <v>159</v>
      </c>
      <c r="AF66" s="72">
        <v>796000</v>
      </c>
      <c r="AG66" s="74">
        <f>IFERROR(VLOOKUP(AD66,_xlfn.VSTACK(Table1[],Table14[],Table16[],Table18[],Table110[]),2,0),0)</f>
        <v>500000</v>
      </c>
      <c r="AH66" s="108">
        <f t="shared" si="3"/>
        <v>-296000</v>
      </c>
    </row>
    <row r="67" spans="19:34" ht="24" customHeight="1" x14ac:dyDescent="0.25">
      <c r="S67" s="93"/>
      <c r="T67" s="94"/>
      <c r="U67" s="94"/>
      <c r="V67" s="94"/>
      <c r="W67" s="95"/>
      <c r="AD67" s="66" t="s">
        <v>16</v>
      </c>
      <c r="AE67" s="66" t="s">
        <v>160</v>
      </c>
      <c r="AF67" s="72">
        <v>459000</v>
      </c>
      <c r="AG67" s="74">
        <f>IFERROR(VLOOKUP(AD67,_xlfn.VSTACK(Table1[],Table14[],Table16[],Table18[],Table110[]),2,0),0)</f>
        <v>500000</v>
      </c>
      <c r="AH67" s="108">
        <f t="shared" si="3"/>
        <v>41000</v>
      </c>
    </row>
    <row r="68" spans="19:34" ht="24" customHeight="1" x14ac:dyDescent="0.25">
      <c r="S68" s="58"/>
      <c r="T68" s="66"/>
      <c r="U68" s="66"/>
      <c r="V68" s="66"/>
      <c r="W68" s="92"/>
      <c r="AD68" s="66" t="s">
        <v>16</v>
      </c>
      <c r="AE68" s="66" t="s">
        <v>161</v>
      </c>
      <c r="AF68" s="72">
        <v>448000</v>
      </c>
      <c r="AG68" s="74">
        <f>IFERROR(VLOOKUP(AD68,_xlfn.VSTACK(Table1[],Table14[],Table16[],Table18[],Table110[]),2,0),0)</f>
        <v>500000</v>
      </c>
      <c r="AH68" s="108">
        <f t="shared" ref="AH68:AH131" si="8">AG68-AF68</f>
        <v>52000</v>
      </c>
    </row>
    <row r="69" spans="19:34" ht="24" customHeight="1" x14ac:dyDescent="0.25">
      <c r="S69" s="93"/>
      <c r="T69" s="94"/>
      <c r="U69" s="94"/>
      <c r="V69" s="94"/>
      <c r="W69" s="95"/>
      <c r="AD69" s="66" t="s">
        <v>19</v>
      </c>
      <c r="AE69" s="66" t="s">
        <v>153</v>
      </c>
      <c r="AF69" s="72">
        <v>465000</v>
      </c>
      <c r="AG69" s="74">
        <f>IFERROR(VLOOKUP(AD69,_xlfn.VSTACK(Table1[],Table14[],Table16[],Table18[],Table110[]),2,0),0)</f>
        <v>500000</v>
      </c>
      <c r="AH69" s="108">
        <f t="shared" si="8"/>
        <v>35000</v>
      </c>
    </row>
    <row r="70" spans="19:34" ht="24" customHeight="1" x14ac:dyDescent="0.25">
      <c r="S70" s="58"/>
      <c r="T70" s="66"/>
      <c r="U70" s="66"/>
      <c r="V70" s="66"/>
      <c r="W70" s="92"/>
      <c r="AD70" s="66" t="s">
        <v>19</v>
      </c>
      <c r="AE70" s="66" t="s">
        <v>154</v>
      </c>
      <c r="AF70" s="72">
        <v>1000000</v>
      </c>
      <c r="AG70" s="74">
        <f>IFERROR(VLOOKUP(AD70,_xlfn.VSTACK(Table1[],Table14[],Table16[],Table18[],Table110[]),2,0),0)</f>
        <v>500000</v>
      </c>
      <c r="AH70" s="108">
        <f t="shared" si="8"/>
        <v>-500000</v>
      </c>
    </row>
    <row r="71" spans="19:34" ht="24" customHeight="1" x14ac:dyDescent="0.25">
      <c r="S71" s="93"/>
      <c r="T71" s="94"/>
      <c r="U71" s="94"/>
      <c r="V71" s="94"/>
      <c r="W71" s="95"/>
      <c r="AD71" s="66" t="s">
        <v>19</v>
      </c>
      <c r="AE71" s="66" t="s">
        <v>156</v>
      </c>
      <c r="AF71" s="72">
        <v>500000</v>
      </c>
      <c r="AG71" s="74">
        <f>IFERROR(VLOOKUP(AD71,_xlfn.VSTACK(Table1[],Table14[],Table16[],Table18[],Table110[]),2,0),0)</f>
        <v>500000</v>
      </c>
      <c r="AH71" s="108">
        <f t="shared" si="8"/>
        <v>0</v>
      </c>
    </row>
    <row r="72" spans="19:34" ht="24" customHeight="1" x14ac:dyDescent="0.25">
      <c r="S72" s="58"/>
      <c r="T72" s="66"/>
      <c r="U72" s="66"/>
      <c r="V72" s="66"/>
      <c r="W72" s="92"/>
      <c r="AD72" s="66" t="s">
        <v>19</v>
      </c>
      <c r="AE72" s="66" t="s">
        <v>157</v>
      </c>
      <c r="AF72" s="72">
        <v>500000</v>
      </c>
      <c r="AG72" s="74">
        <f>IFERROR(VLOOKUP(AD72,_xlfn.VSTACK(Table1[],Table14[],Table16[],Table18[],Table110[]),2,0),0)</f>
        <v>500000</v>
      </c>
      <c r="AH72" s="108">
        <f t="shared" si="8"/>
        <v>0</v>
      </c>
    </row>
    <row r="73" spans="19:34" ht="24" customHeight="1" x14ac:dyDescent="0.25">
      <c r="S73" s="93"/>
      <c r="T73" s="94"/>
      <c r="U73" s="94"/>
      <c r="V73" s="94"/>
      <c r="W73" s="95"/>
      <c r="AD73" s="66" t="s">
        <v>19</v>
      </c>
      <c r="AE73" s="66" t="s">
        <v>158</v>
      </c>
      <c r="AF73" s="72">
        <v>1000000</v>
      </c>
      <c r="AG73" s="74">
        <f>IFERROR(VLOOKUP(AD73,_xlfn.VSTACK(Table1[],Table14[],Table16[],Table18[],Table110[]),2,0),0)</f>
        <v>500000</v>
      </c>
      <c r="AH73" s="108">
        <f t="shared" si="8"/>
        <v>-500000</v>
      </c>
    </row>
    <row r="74" spans="19:34" ht="24" customHeight="1" x14ac:dyDescent="0.25">
      <c r="S74" s="58"/>
      <c r="T74" s="66"/>
      <c r="U74" s="66"/>
      <c r="V74" s="66"/>
      <c r="W74" s="92"/>
      <c r="AD74" s="66" t="s">
        <v>19</v>
      </c>
      <c r="AE74" s="66" t="s">
        <v>159</v>
      </c>
      <c r="AF74" s="72">
        <v>545000</v>
      </c>
      <c r="AG74" s="74">
        <f>IFERROR(VLOOKUP(AD74,_xlfn.VSTACK(Table1[],Table14[],Table16[],Table18[],Table110[]),2,0),0)</f>
        <v>500000</v>
      </c>
      <c r="AH74" s="108">
        <f t="shared" si="8"/>
        <v>-45000</v>
      </c>
    </row>
    <row r="75" spans="19:34" ht="24" customHeight="1" x14ac:dyDescent="0.25">
      <c r="S75" s="93"/>
      <c r="T75" s="94"/>
      <c r="U75" s="94"/>
      <c r="V75" s="94"/>
      <c r="W75" s="95"/>
      <c r="AD75" s="66" t="s">
        <v>19</v>
      </c>
      <c r="AE75" s="66" t="s">
        <v>160</v>
      </c>
      <c r="AF75" s="72">
        <v>500000</v>
      </c>
      <c r="AG75" s="74">
        <f>IFERROR(VLOOKUP(AD75,_xlfn.VSTACK(Table1[],Table14[],Table16[],Table18[],Table110[]),2,0),0)</f>
        <v>500000</v>
      </c>
      <c r="AH75" s="108">
        <f t="shared" si="8"/>
        <v>0</v>
      </c>
    </row>
    <row r="76" spans="19:34" ht="24" customHeight="1" x14ac:dyDescent="0.25">
      <c r="S76" s="58"/>
      <c r="T76" s="66"/>
      <c r="U76" s="66"/>
      <c r="V76" s="66"/>
      <c r="W76" s="92"/>
      <c r="AD76" s="66" t="s">
        <v>19</v>
      </c>
      <c r="AE76" s="66" t="s">
        <v>161</v>
      </c>
      <c r="AF76" s="72">
        <v>500000</v>
      </c>
      <c r="AG76" s="74">
        <f>IFERROR(VLOOKUP(AD76,_xlfn.VSTACK(Table1[],Table14[],Table16[],Table18[],Table110[]),2,0),0)</f>
        <v>500000</v>
      </c>
      <c r="AH76" s="108">
        <f t="shared" si="8"/>
        <v>0</v>
      </c>
    </row>
    <row r="77" spans="19:34" ht="24" customHeight="1" x14ac:dyDescent="0.25">
      <c r="S77" s="93"/>
      <c r="T77" s="94"/>
      <c r="U77" s="94"/>
      <c r="V77" s="94"/>
      <c r="W77" s="95"/>
      <c r="AD77" s="66" t="s">
        <v>3</v>
      </c>
      <c r="AE77" s="66" t="s">
        <v>152</v>
      </c>
      <c r="AF77" s="72">
        <v>730000</v>
      </c>
      <c r="AG77" s="74">
        <f>IFERROR(VLOOKUP(AD77,_xlfn.VSTACK(Table1[],Table14[],Table16[],Table18[],Table110[]),2,0),0)</f>
        <v>800000</v>
      </c>
      <c r="AH77" s="108">
        <f t="shared" si="8"/>
        <v>70000</v>
      </c>
    </row>
    <row r="78" spans="19:34" ht="24" customHeight="1" x14ac:dyDescent="0.25">
      <c r="S78" s="58"/>
      <c r="T78" s="66"/>
      <c r="U78" s="66"/>
      <c r="V78" s="66"/>
      <c r="W78" s="92"/>
      <c r="AD78" s="66" t="s">
        <v>3</v>
      </c>
      <c r="AE78" s="66" t="s">
        <v>153</v>
      </c>
      <c r="AF78" s="72">
        <v>777000</v>
      </c>
      <c r="AG78" s="74">
        <f>IFERROR(VLOOKUP(AD78,_xlfn.VSTACK(Table1[],Table14[],Table16[],Table18[],Table110[]),2,0),0)</f>
        <v>800000</v>
      </c>
      <c r="AH78" s="108">
        <f t="shared" si="8"/>
        <v>23000</v>
      </c>
    </row>
    <row r="79" spans="19:34" ht="24" customHeight="1" x14ac:dyDescent="0.25">
      <c r="S79" s="93"/>
      <c r="T79" s="94"/>
      <c r="U79" s="94"/>
      <c r="V79" s="94"/>
      <c r="W79" s="95"/>
      <c r="AD79" s="66" t="s">
        <v>3</v>
      </c>
      <c r="AE79" s="66" t="s">
        <v>154</v>
      </c>
      <c r="AF79" s="72">
        <v>793000</v>
      </c>
      <c r="AG79" s="74">
        <f>IFERROR(VLOOKUP(AD79,_xlfn.VSTACK(Table1[],Table14[],Table16[],Table18[],Table110[]),2,0),0)</f>
        <v>800000</v>
      </c>
      <c r="AH79" s="108">
        <f t="shared" si="8"/>
        <v>7000</v>
      </c>
    </row>
    <row r="80" spans="19:34" ht="24" customHeight="1" x14ac:dyDescent="0.25">
      <c r="S80" s="58"/>
      <c r="T80" s="66"/>
      <c r="U80" s="66"/>
      <c r="V80" s="66"/>
      <c r="W80" s="92"/>
      <c r="AD80" s="66" t="s">
        <v>3</v>
      </c>
      <c r="AE80" s="66" t="s">
        <v>155</v>
      </c>
      <c r="AF80" s="72">
        <v>787000</v>
      </c>
      <c r="AG80" s="74">
        <f>IFERROR(VLOOKUP(AD80,_xlfn.VSTACK(Table1[],Table14[],Table16[],Table18[],Table110[]),2,0),0)</f>
        <v>800000</v>
      </c>
      <c r="AH80" s="108">
        <f t="shared" si="8"/>
        <v>13000</v>
      </c>
    </row>
    <row r="81" spans="19:34" ht="24" customHeight="1" x14ac:dyDescent="0.25">
      <c r="S81" s="93"/>
      <c r="T81" s="94"/>
      <c r="U81" s="94"/>
      <c r="V81" s="94"/>
      <c r="W81" s="95"/>
      <c r="AD81" s="66" t="s">
        <v>3</v>
      </c>
      <c r="AE81" s="66" t="s">
        <v>156</v>
      </c>
      <c r="AF81" s="72">
        <v>810000</v>
      </c>
      <c r="AG81" s="74">
        <f>IFERROR(VLOOKUP(AD81,_xlfn.VSTACK(Table1[],Table14[],Table16[],Table18[],Table110[]),2,0),0)</f>
        <v>800000</v>
      </c>
      <c r="AH81" s="108">
        <f t="shared" si="8"/>
        <v>-10000</v>
      </c>
    </row>
    <row r="82" spans="19:34" ht="24" customHeight="1" x14ac:dyDescent="0.25">
      <c r="S82" s="58"/>
      <c r="T82" s="66"/>
      <c r="U82" s="66"/>
      <c r="V82" s="66"/>
      <c r="W82" s="92"/>
      <c r="AD82" s="66" t="s">
        <v>3</v>
      </c>
      <c r="AE82" s="66" t="s">
        <v>157</v>
      </c>
      <c r="AF82" s="72">
        <v>818000</v>
      </c>
      <c r="AG82" s="74">
        <f>IFERROR(VLOOKUP(AD82,_xlfn.VSTACK(Table1[],Table14[],Table16[],Table18[],Table110[]),2,0),0)</f>
        <v>800000</v>
      </c>
      <c r="AH82" s="108">
        <f t="shared" si="8"/>
        <v>-18000</v>
      </c>
    </row>
    <row r="83" spans="19:34" ht="24" customHeight="1" x14ac:dyDescent="0.25">
      <c r="S83" s="93"/>
      <c r="T83" s="94"/>
      <c r="U83" s="94"/>
      <c r="V83" s="94"/>
      <c r="W83" s="95"/>
      <c r="AD83" s="66" t="s">
        <v>3</v>
      </c>
      <c r="AE83" s="66" t="s">
        <v>158</v>
      </c>
      <c r="AF83" s="72">
        <v>839000</v>
      </c>
      <c r="AG83" s="74">
        <f>IFERROR(VLOOKUP(AD83,_xlfn.VSTACK(Table1[],Table14[],Table16[],Table18[],Table110[]),2,0),0)</f>
        <v>800000</v>
      </c>
      <c r="AH83" s="108">
        <f t="shared" si="8"/>
        <v>-39000</v>
      </c>
    </row>
    <row r="84" spans="19:34" ht="24" customHeight="1" x14ac:dyDescent="0.25">
      <c r="S84" s="58"/>
      <c r="T84" s="66"/>
      <c r="U84" s="66"/>
      <c r="V84" s="66"/>
      <c r="W84" s="92"/>
      <c r="AD84" s="66" t="s">
        <v>3</v>
      </c>
      <c r="AE84" s="66" t="s">
        <v>150</v>
      </c>
      <c r="AF84" s="72">
        <v>809000</v>
      </c>
      <c r="AG84" s="74">
        <f>IFERROR(VLOOKUP(AD84,_xlfn.VSTACK(Table1[],Table14[],Table16[],Table18[],Table110[]),2,0),0)</f>
        <v>800000</v>
      </c>
      <c r="AH84" s="108">
        <f t="shared" si="8"/>
        <v>-9000</v>
      </c>
    </row>
    <row r="85" spans="19:34" ht="24" customHeight="1" x14ac:dyDescent="0.25">
      <c r="S85" s="93"/>
      <c r="T85" s="94"/>
      <c r="U85" s="94"/>
      <c r="V85" s="94"/>
      <c r="W85" s="95"/>
      <c r="AD85" s="66" t="s">
        <v>3</v>
      </c>
      <c r="AE85" s="66" t="s">
        <v>159</v>
      </c>
      <c r="AF85" s="72">
        <v>761000</v>
      </c>
      <c r="AG85" s="74">
        <f>IFERROR(VLOOKUP(AD85,_xlfn.VSTACK(Table1[],Table14[],Table16[],Table18[],Table110[]),2,0),0)</f>
        <v>800000</v>
      </c>
      <c r="AH85" s="108">
        <f t="shared" si="8"/>
        <v>39000</v>
      </c>
    </row>
    <row r="86" spans="19:34" ht="24" customHeight="1" x14ac:dyDescent="0.25">
      <c r="S86" s="58"/>
      <c r="T86" s="66"/>
      <c r="U86" s="66"/>
      <c r="V86" s="66"/>
      <c r="W86" s="92"/>
      <c r="AD86" s="66" t="s">
        <v>3</v>
      </c>
      <c r="AE86" s="66" t="s">
        <v>160</v>
      </c>
      <c r="AF86" s="72">
        <v>709000</v>
      </c>
      <c r="AG86" s="74">
        <f>IFERROR(VLOOKUP(AD86,_xlfn.VSTACK(Table1[],Table14[],Table16[],Table18[],Table110[]),2,0),0)</f>
        <v>800000</v>
      </c>
      <c r="AH86" s="108">
        <f t="shared" si="8"/>
        <v>91000</v>
      </c>
    </row>
    <row r="87" spans="19:34" ht="24" customHeight="1" x14ac:dyDescent="0.25">
      <c r="S87" s="93"/>
      <c r="T87" s="94"/>
      <c r="U87" s="94"/>
      <c r="V87" s="94"/>
      <c r="W87" s="95"/>
      <c r="AD87" s="66" t="s">
        <v>3</v>
      </c>
      <c r="AE87" s="66" t="s">
        <v>161</v>
      </c>
      <c r="AF87" s="72">
        <v>713000</v>
      </c>
      <c r="AG87" s="74">
        <f>IFERROR(VLOOKUP(AD87,_xlfn.VSTACK(Table1[],Table14[],Table16[],Table18[],Table110[]),2,0),0)</f>
        <v>800000</v>
      </c>
      <c r="AH87" s="108">
        <f t="shared" si="8"/>
        <v>87000</v>
      </c>
    </row>
    <row r="88" spans="19:34" ht="24" customHeight="1" x14ac:dyDescent="0.25">
      <c r="S88" s="58"/>
      <c r="T88" s="66"/>
      <c r="U88" s="66"/>
      <c r="V88" s="66"/>
      <c r="W88" s="92"/>
      <c r="AD88" s="66" t="s">
        <v>14</v>
      </c>
      <c r="AE88" s="66" t="s">
        <v>152</v>
      </c>
      <c r="AF88" s="72">
        <v>449000</v>
      </c>
      <c r="AG88" s="74">
        <f>IFERROR(VLOOKUP(AD88,_xlfn.VSTACK(Table1[],Table14[],Table16[],Table18[],Table110[]),2,0),0)</f>
        <v>500000</v>
      </c>
      <c r="AH88" s="108">
        <f t="shared" si="8"/>
        <v>51000</v>
      </c>
    </row>
    <row r="89" spans="19:34" ht="24" customHeight="1" x14ac:dyDescent="0.25">
      <c r="S89" s="93"/>
      <c r="T89" s="94"/>
      <c r="U89" s="94"/>
      <c r="V89" s="94"/>
      <c r="W89" s="95"/>
      <c r="AD89" s="66" t="s">
        <v>14</v>
      </c>
      <c r="AE89" s="66" t="s">
        <v>153</v>
      </c>
      <c r="AF89" s="72">
        <v>466000</v>
      </c>
      <c r="AG89" s="74">
        <f>IFERROR(VLOOKUP(AD89,_xlfn.VSTACK(Table1[],Table14[],Table16[],Table18[],Table110[]),2,0),0)</f>
        <v>500000</v>
      </c>
      <c r="AH89" s="108">
        <f t="shared" si="8"/>
        <v>34000</v>
      </c>
    </row>
    <row r="90" spans="19:34" ht="24" customHeight="1" x14ac:dyDescent="0.25">
      <c r="S90" s="58"/>
      <c r="T90" s="66"/>
      <c r="U90" s="66"/>
      <c r="V90" s="66"/>
      <c r="W90" s="92"/>
      <c r="AD90" s="66" t="s">
        <v>14</v>
      </c>
      <c r="AE90" s="66" t="s">
        <v>154</v>
      </c>
      <c r="AF90" s="72">
        <v>473000</v>
      </c>
      <c r="AG90" s="74">
        <f>IFERROR(VLOOKUP(AD90,_xlfn.VSTACK(Table1[],Table14[],Table16[],Table18[],Table110[]),2,0),0)</f>
        <v>500000</v>
      </c>
      <c r="AH90" s="108">
        <f t="shared" si="8"/>
        <v>27000</v>
      </c>
    </row>
    <row r="91" spans="19:34" ht="24" customHeight="1" x14ac:dyDescent="0.25">
      <c r="S91" s="93"/>
      <c r="T91" s="94"/>
      <c r="U91" s="94"/>
      <c r="V91" s="94"/>
      <c r="W91" s="95"/>
      <c r="AD91" s="66" t="s">
        <v>14</v>
      </c>
      <c r="AE91" s="66" t="s">
        <v>155</v>
      </c>
      <c r="AF91" s="72">
        <v>467000</v>
      </c>
      <c r="AG91" s="74">
        <f>IFERROR(VLOOKUP(AD91,_xlfn.VSTACK(Table1[],Table14[],Table16[],Table18[],Table110[]),2,0),0)</f>
        <v>500000</v>
      </c>
      <c r="AH91" s="108">
        <f t="shared" si="8"/>
        <v>33000</v>
      </c>
    </row>
    <row r="92" spans="19:34" ht="24" customHeight="1" x14ac:dyDescent="0.25">
      <c r="S92" s="58"/>
      <c r="T92" s="66"/>
      <c r="U92" s="66"/>
      <c r="V92" s="66"/>
      <c r="W92" s="92"/>
      <c r="AD92" s="66" t="s">
        <v>14</v>
      </c>
      <c r="AE92" s="66" t="s">
        <v>156</v>
      </c>
      <c r="AF92" s="72">
        <v>271000</v>
      </c>
      <c r="AG92" s="74">
        <f>IFERROR(VLOOKUP(AD92,_xlfn.VSTACK(Table1[],Table14[],Table16[],Table18[],Table110[]),2,0),0)</f>
        <v>500000</v>
      </c>
      <c r="AH92" s="108">
        <f t="shared" si="8"/>
        <v>229000</v>
      </c>
    </row>
    <row r="93" spans="19:34" ht="24" customHeight="1" x14ac:dyDescent="0.25">
      <c r="S93" s="93"/>
      <c r="T93" s="94"/>
      <c r="U93" s="94"/>
      <c r="V93" s="94"/>
      <c r="W93" s="95"/>
      <c r="AD93" s="66" t="s">
        <v>14</v>
      </c>
      <c r="AE93" s="66" t="s">
        <v>157</v>
      </c>
      <c r="AF93" s="72">
        <v>352000</v>
      </c>
      <c r="AG93" s="74">
        <f>IFERROR(VLOOKUP(AD93,_xlfn.VSTACK(Table1[],Table14[],Table16[],Table18[],Table110[]),2,0),0)</f>
        <v>500000</v>
      </c>
      <c r="AH93" s="108">
        <f t="shared" si="8"/>
        <v>148000</v>
      </c>
    </row>
    <row r="94" spans="19:34" ht="24" customHeight="1" x14ac:dyDescent="0.25">
      <c r="S94" s="58"/>
      <c r="T94" s="66"/>
      <c r="U94" s="66"/>
      <c r="V94" s="66"/>
      <c r="W94" s="92"/>
      <c r="AD94" s="66" t="s">
        <v>14</v>
      </c>
      <c r="AE94" s="66" t="s">
        <v>158</v>
      </c>
      <c r="AF94" s="72">
        <v>298000</v>
      </c>
      <c r="AG94" s="74">
        <f>IFERROR(VLOOKUP(AD94,_xlfn.VSTACK(Table1[],Table14[],Table16[],Table18[],Table110[]),2,0),0)</f>
        <v>500000</v>
      </c>
      <c r="AH94" s="108">
        <f t="shared" si="8"/>
        <v>202000</v>
      </c>
    </row>
    <row r="95" spans="19:34" ht="24" customHeight="1" x14ac:dyDescent="0.25">
      <c r="S95" s="93"/>
      <c r="T95" s="94"/>
      <c r="U95" s="94"/>
      <c r="V95" s="94"/>
      <c r="W95" s="95"/>
      <c r="AD95" s="66" t="s">
        <v>14</v>
      </c>
      <c r="AE95" s="66" t="s">
        <v>150</v>
      </c>
      <c r="AF95" s="72">
        <v>419000</v>
      </c>
      <c r="AG95" s="74">
        <f>IFERROR(VLOOKUP(AD95,_xlfn.VSTACK(Table1[],Table14[],Table16[],Table18[],Table110[]),2,0),0)</f>
        <v>500000</v>
      </c>
      <c r="AH95" s="108">
        <f t="shared" si="8"/>
        <v>81000</v>
      </c>
    </row>
    <row r="96" spans="19:34" ht="24" customHeight="1" x14ac:dyDescent="0.25">
      <c r="S96" s="58"/>
      <c r="T96" s="66"/>
      <c r="U96" s="66"/>
      <c r="V96" s="66"/>
      <c r="W96" s="92"/>
      <c r="AD96" s="66" t="s">
        <v>14</v>
      </c>
      <c r="AE96" s="66" t="s">
        <v>159</v>
      </c>
      <c r="AF96" s="72">
        <v>410000</v>
      </c>
      <c r="AG96" s="74">
        <f>IFERROR(VLOOKUP(AD96,_xlfn.VSTACK(Table1[],Table14[],Table16[],Table18[],Table110[]),2,0),0)</f>
        <v>500000</v>
      </c>
      <c r="AH96" s="108">
        <f t="shared" si="8"/>
        <v>90000</v>
      </c>
    </row>
    <row r="97" spans="19:34" ht="24" customHeight="1" x14ac:dyDescent="0.25">
      <c r="S97" s="93"/>
      <c r="T97" s="94"/>
      <c r="U97" s="94"/>
      <c r="V97" s="94"/>
      <c r="W97" s="95"/>
      <c r="AD97" s="66" t="s">
        <v>14</v>
      </c>
      <c r="AE97" s="66" t="s">
        <v>160</v>
      </c>
      <c r="AF97" s="72">
        <v>403000</v>
      </c>
      <c r="AG97" s="74">
        <f>IFERROR(VLOOKUP(AD97,_xlfn.VSTACK(Table1[],Table14[],Table16[],Table18[],Table110[]),2,0),0)</f>
        <v>500000</v>
      </c>
      <c r="AH97" s="108">
        <f t="shared" si="8"/>
        <v>97000</v>
      </c>
    </row>
    <row r="98" spans="19:34" ht="24" customHeight="1" x14ac:dyDescent="0.25">
      <c r="S98" s="58"/>
      <c r="T98" s="66"/>
      <c r="U98" s="66"/>
      <c r="V98" s="66"/>
      <c r="W98" s="92"/>
      <c r="AD98" s="66" t="s">
        <v>14</v>
      </c>
      <c r="AE98" s="66" t="s">
        <v>161</v>
      </c>
      <c r="AF98" s="72">
        <v>396000</v>
      </c>
      <c r="AG98" s="74">
        <f>IFERROR(VLOOKUP(AD98,_xlfn.VSTACK(Table1[],Table14[],Table16[],Table18[],Table110[]),2,0),0)</f>
        <v>500000</v>
      </c>
      <c r="AH98" s="108">
        <f t="shared" si="8"/>
        <v>104000</v>
      </c>
    </row>
    <row r="99" spans="19:34" ht="24" customHeight="1" x14ac:dyDescent="0.25">
      <c r="S99" s="93"/>
      <c r="T99" s="94"/>
      <c r="U99" s="94"/>
      <c r="V99" s="94"/>
      <c r="W99" s="95"/>
      <c r="AD99" s="66" t="s">
        <v>12</v>
      </c>
      <c r="AE99" s="66" t="s">
        <v>152</v>
      </c>
      <c r="AF99" s="72">
        <v>470000</v>
      </c>
      <c r="AG99" s="74">
        <f>IFERROR(VLOOKUP(AD99,_xlfn.VSTACK(Table1[],Table14[],Table16[],Table18[],Table110[]),2,0),0)</f>
        <v>500000</v>
      </c>
      <c r="AH99" s="108">
        <f t="shared" si="8"/>
        <v>30000</v>
      </c>
    </row>
    <row r="100" spans="19:34" ht="24" customHeight="1" x14ac:dyDescent="0.25">
      <c r="S100" s="58"/>
      <c r="T100" s="66"/>
      <c r="U100" s="66"/>
      <c r="V100" s="66"/>
      <c r="W100" s="92"/>
      <c r="AD100" s="66" t="s">
        <v>12</v>
      </c>
      <c r="AE100" s="66" t="s">
        <v>153</v>
      </c>
      <c r="AF100" s="72">
        <v>495000</v>
      </c>
      <c r="AG100" s="74">
        <f>IFERROR(VLOOKUP(AD100,_xlfn.VSTACK(Table1[],Table14[],Table16[],Table18[],Table110[]),2,0),0)</f>
        <v>500000</v>
      </c>
      <c r="AH100" s="108">
        <f t="shared" si="8"/>
        <v>5000</v>
      </c>
    </row>
    <row r="101" spans="19:34" ht="24" customHeight="1" x14ac:dyDescent="0.25">
      <c r="S101" s="93"/>
      <c r="T101" s="94"/>
      <c r="U101" s="94"/>
      <c r="V101" s="94"/>
      <c r="W101" s="95"/>
      <c r="AD101" s="66" t="s">
        <v>12</v>
      </c>
      <c r="AE101" s="66" t="s">
        <v>154</v>
      </c>
      <c r="AF101" s="72">
        <v>905000</v>
      </c>
      <c r="AG101" s="74">
        <f>IFERROR(VLOOKUP(AD101,_xlfn.VSTACK(Table1[],Table14[],Table16[],Table18[],Table110[]),2,0),0)</f>
        <v>500000</v>
      </c>
      <c r="AH101" s="108">
        <f t="shared" si="8"/>
        <v>-405000</v>
      </c>
    </row>
    <row r="102" spans="19:34" ht="24" customHeight="1" x14ac:dyDescent="0.25">
      <c r="S102" s="58"/>
      <c r="T102" s="66"/>
      <c r="U102" s="66"/>
      <c r="V102" s="66"/>
      <c r="W102" s="92"/>
      <c r="AD102" s="66" t="s">
        <v>12</v>
      </c>
      <c r="AE102" s="66" t="s">
        <v>155</v>
      </c>
      <c r="AF102" s="72">
        <v>534000</v>
      </c>
      <c r="AG102" s="74">
        <f>IFERROR(VLOOKUP(AD102,_xlfn.VSTACK(Table1[],Table14[],Table16[],Table18[],Table110[]),2,0),0)</f>
        <v>500000</v>
      </c>
      <c r="AH102" s="108">
        <f t="shared" si="8"/>
        <v>-34000</v>
      </c>
    </row>
    <row r="103" spans="19:34" ht="24" customHeight="1" x14ac:dyDescent="0.25">
      <c r="S103" s="93"/>
      <c r="T103" s="94"/>
      <c r="U103" s="94"/>
      <c r="V103" s="94"/>
      <c r="W103" s="95"/>
      <c r="AD103" s="66" t="s">
        <v>12</v>
      </c>
      <c r="AE103" s="66" t="s">
        <v>156</v>
      </c>
      <c r="AF103" s="72">
        <v>481000</v>
      </c>
      <c r="AG103" s="74">
        <f>IFERROR(VLOOKUP(AD103,_xlfn.VSTACK(Table1[],Table14[],Table16[],Table18[],Table110[]),2,0),0)</f>
        <v>500000</v>
      </c>
      <c r="AH103" s="108">
        <f t="shared" si="8"/>
        <v>19000</v>
      </c>
    </row>
    <row r="104" spans="19:34" ht="24" customHeight="1" x14ac:dyDescent="0.25">
      <c r="S104" s="58"/>
      <c r="T104" s="66"/>
      <c r="U104" s="66"/>
      <c r="V104" s="66"/>
      <c r="W104" s="92"/>
      <c r="AD104" s="66" t="s">
        <v>12</v>
      </c>
      <c r="AE104" s="66" t="s">
        <v>157</v>
      </c>
      <c r="AF104" s="72">
        <v>418000</v>
      </c>
      <c r="AG104" s="74">
        <f>IFERROR(VLOOKUP(AD104,_xlfn.VSTACK(Table1[],Table14[],Table16[],Table18[],Table110[]),2,0),0)</f>
        <v>500000</v>
      </c>
      <c r="AH104" s="108">
        <f t="shared" si="8"/>
        <v>82000</v>
      </c>
    </row>
    <row r="105" spans="19:34" ht="24" customHeight="1" x14ac:dyDescent="0.25">
      <c r="S105" s="93"/>
      <c r="T105" s="94"/>
      <c r="U105" s="94"/>
      <c r="V105" s="94"/>
      <c r="W105" s="95"/>
      <c r="AD105" s="66" t="s">
        <v>12</v>
      </c>
      <c r="AE105" s="66" t="s">
        <v>158</v>
      </c>
      <c r="AF105" s="72">
        <v>431000</v>
      </c>
      <c r="AG105" s="74">
        <f>IFERROR(VLOOKUP(AD105,_xlfn.VSTACK(Table1[],Table14[],Table16[],Table18[],Table110[]),2,0),0)</f>
        <v>500000</v>
      </c>
      <c r="AH105" s="108">
        <f t="shared" si="8"/>
        <v>69000</v>
      </c>
    </row>
    <row r="106" spans="19:34" ht="24" customHeight="1" x14ac:dyDescent="0.25">
      <c r="S106" s="58"/>
      <c r="T106" s="66"/>
      <c r="U106" s="66"/>
      <c r="V106" s="66"/>
      <c r="W106" s="92"/>
      <c r="AD106" s="66" t="s">
        <v>12</v>
      </c>
      <c r="AE106" s="66" t="s">
        <v>150</v>
      </c>
      <c r="AF106" s="72">
        <v>590000</v>
      </c>
      <c r="AG106" s="74">
        <f>IFERROR(VLOOKUP(AD106,_xlfn.VSTACK(Table1[],Table14[],Table16[],Table18[],Table110[]),2,0),0)</f>
        <v>500000</v>
      </c>
      <c r="AH106" s="108">
        <f t="shared" si="8"/>
        <v>-90000</v>
      </c>
    </row>
    <row r="107" spans="19:34" ht="24" customHeight="1" x14ac:dyDescent="0.25">
      <c r="S107" s="93"/>
      <c r="T107" s="94"/>
      <c r="U107" s="94"/>
      <c r="V107" s="94"/>
      <c r="W107" s="95"/>
      <c r="AD107" s="66" t="s">
        <v>12</v>
      </c>
      <c r="AE107" s="66" t="s">
        <v>159</v>
      </c>
      <c r="AF107" s="72">
        <v>572000</v>
      </c>
      <c r="AG107" s="74">
        <f>IFERROR(VLOOKUP(AD107,_xlfn.VSTACK(Table1[],Table14[],Table16[],Table18[],Table110[]),2,0),0)</f>
        <v>500000</v>
      </c>
      <c r="AH107" s="108">
        <f t="shared" si="8"/>
        <v>-72000</v>
      </c>
    </row>
    <row r="108" spans="19:34" ht="24" customHeight="1" x14ac:dyDescent="0.25">
      <c r="S108" s="58"/>
      <c r="T108" s="66"/>
      <c r="U108" s="66"/>
      <c r="V108" s="66"/>
      <c r="W108" s="92"/>
      <c r="AD108" s="66" t="s">
        <v>12</v>
      </c>
      <c r="AE108" s="66" t="s">
        <v>160</v>
      </c>
      <c r="AF108" s="72">
        <v>558000</v>
      </c>
      <c r="AG108" s="74">
        <f>IFERROR(VLOOKUP(AD108,_xlfn.VSTACK(Table1[],Table14[],Table16[],Table18[],Table110[]),2,0),0)</f>
        <v>500000</v>
      </c>
      <c r="AH108" s="108">
        <f t="shared" si="8"/>
        <v>-58000</v>
      </c>
    </row>
    <row r="109" spans="19:34" ht="24" customHeight="1" x14ac:dyDescent="0.25">
      <c r="S109" s="93"/>
      <c r="T109" s="94"/>
      <c r="U109" s="94"/>
      <c r="V109" s="94"/>
      <c r="W109" s="95"/>
      <c r="AD109" s="66" t="s">
        <v>12</v>
      </c>
      <c r="AE109" s="66" t="s">
        <v>161</v>
      </c>
      <c r="AF109" s="72">
        <v>420000</v>
      </c>
      <c r="AG109" s="74">
        <f>IFERROR(VLOOKUP(AD109,_xlfn.VSTACK(Table1[],Table14[],Table16[],Table18[],Table110[]),2,0),0)</f>
        <v>500000</v>
      </c>
      <c r="AH109" s="108">
        <f t="shared" si="8"/>
        <v>80000</v>
      </c>
    </row>
    <row r="110" spans="19:34" ht="24" customHeight="1" x14ac:dyDescent="0.25">
      <c r="S110" s="58"/>
      <c r="T110" s="66"/>
      <c r="U110" s="66"/>
      <c r="V110" s="66"/>
      <c r="W110" s="92"/>
      <c r="AD110" s="66" t="s">
        <v>2</v>
      </c>
      <c r="AE110" s="66" t="s">
        <v>152</v>
      </c>
      <c r="AF110" s="72">
        <v>1600000</v>
      </c>
      <c r="AG110" s="74">
        <f>IFERROR(VLOOKUP(AD110,_xlfn.VSTACK(Table1[],Table14[],Table16[],Table18[],Table110[]),2,0),0)</f>
        <v>1600000</v>
      </c>
      <c r="AH110" s="108">
        <f t="shared" si="8"/>
        <v>0</v>
      </c>
    </row>
    <row r="111" spans="19:34" ht="24" customHeight="1" x14ac:dyDescent="0.25">
      <c r="S111" s="93"/>
      <c r="T111" s="94"/>
      <c r="U111" s="94"/>
      <c r="V111" s="94"/>
      <c r="W111" s="95"/>
      <c r="AD111" s="66" t="s">
        <v>2</v>
      </c>
      <c r="AE111" s="66" t="s">
        <v>153</v>
      </c>
      <c r="AF111" s="72">
        <v>1600000</v>
      </c>
      <c r="AG111" s="74">
        <f>IFERROR(VLOOKUP(AD111,_xlfn.VSTACK(Table1[],Table14[],Table16[],Table18[],Table110[]),2,0),0)</f>
        <v>1600000</v>
      </c>
      <c r="AH111" s="108">
        <f t="shared" si="8"/>
        <v>0</v>
      </c>
    </row>
    <row r="112" spans="19:34" ht="24" customHeight="1" x14ac:dyDescent="0.25">
      <c r="S112" s="58"/>
      <c r="T112" s="66"/>
      <c r="U112" s="66"/>
      <c r="V112" s="66"/>
      <c r="W112" s="92"/>
      <c r="AD112" s="66" t="s">
        <v>2</v>
      </c>
      <c r="AE112" s="66" t="s">
        <v>154</v>
      </c>
      <c r="AF112" s="72">
        <v>1600000</v>
      </c>
      <c r="AG112" s="74">
        <f>IFERROR(VLOOKUP(AD112,_xlfn.VSTACK(Table1[],Table14[],Table16[],Table18[],Table110[]),2,0),0)</f>
        <v>1600000</v>
      </c>
      <c r="AH112" s="108">
        <f t="shared" si="8"/>
        <v>0</v>
      </c>
    </row>
    <row r="113" spans="19:34" ht="24" customHeight="1" x14ac:dyDescent="0.25">
      <c r="S113" s="93"/>
      <c r="T113" s="94"/>
      <c r="U113" s="94"/>
      <c r="V113" s="94"/>
      <c r="W113" s="95"/>
      <c r="AD113" s="66" t="s">
        <v>2</v>
      </c>
      <c r="AE113" s="66" t="s">
        <v>155</v>
      </c>
      <c r="AF113" s="72">
        <v>1600000</v>
      </c>
      <c r="AG113" s="74">
        <f>IFERROR(VLOOKUP(AD113,_xlfn.VSTACK(Table1[],Table14[],Table16[],Table18[],Table110[]),2,0),0)</f>
        <v>1600000</v>
      </c>
      <c r="AH113" s="108">
        <f t="shared" si="8"/>
        <v>0</v>
      </c>
    </row>
    <row r="114" spans="19:34" ht="24" customHeight="1" x14ac:dyDescent="0.25">
      <c r="S114" s="58"/>
      <c r="T114" s="66"/>
      <c r="U114" s="66"/>
      <c r="V114" s="66"/>
      <c r="W114" s="92"/>
      <c r="AD114" s="66" t="s">
        <v>2</v>
      </c>
      <c r="AE114" s="66" t="s">
        <v>156</v>
      </c>
      <c r="AF114" s="72">
        <v>1600000</v>
      </c>
      <c r="AG114" s="74">
        <f>IFERROR(VLOOKUP(AD114,_xlfn.VSTACK(Table1[],Table14[],Table16[],Table18[],Table110[]),2,0),0)</f>
        <v>1600000</v>
      </c>
      <c r="AH114" s="108">
        <f t="shared" si="8"/>
        <v>0</v>
      </c>
    </row>
    <row r="115" spans="19:34" ht="24" customHeight="1" x14ac:dyDescent="0.25">
      <c r="S115" s="93"/>
      <c r="T115" s="94"/>
      <c r="U115" s="94"/>
      <c r="V115" s="94"/>
      <c r="W115" s="95"/>
      <c r="AD115" s="66" t="s">
        <v>2</v>
      </c>
      <c r="AE115" s="66" t="s">
        <v>157</v>
      </c>
      <c r="AF115" s="72">
        <v>1600000</v>
      </c>
      <c r="AG115" s="74">
        <f>IFERROR(VLOOKUP(AD115,_xlfn.VSTACK(Table1[],Table14[],Table16[],Table18[],Table110[]),2,0),0)</f>
        <v>1600000</v>
      </c>
      <c r="AH115" s="108">
        <f t="shared" si="8"/>
        <v>0</v>
      </c>
    </row>
    <row r="116" spans="19:34" ht="24" customHeight="1" x14ac:dyDescent="0.25">
      <c r="S116" s="58"/>
      <c r="T116" s="66"/>
      <c r="U116" s="66"/>
      <c r="V116" s="66"/>
      <c r="W116" s="92"/>
      <c r="AD116" s="66" t="s">
        <v>2</v>
      </c>
      <c r="AE116" s="66" t="s">
        <v>158</v>
      </c>
      <c r="AF116" s="72">
        <v>1600000</v>
      </c>
      <c r="AG116" s="74">
        <f>IFERROR(VLOOKUP(AD116,_xlfn.VSTACK(Table1[],Table14[],Table16[],Table18[],Table110[]),2,0),0)</f>
        <v>1600000</v>
      </c>
      <c r="AH116" s="108">
        <f t="shared" si="8"/>
        <v>0</v>
      </c>
    </row>
    <row r="117" spans="19:34" ht="24" customHeight="1" x14ac:dyDescent="0.25">
      <c r="S117" s="93"/>
      <c r="T117" s="94"/>
      <c r="U117" s="94"/>
      <c r="V117" s="94"/>
      <c r="W117" s="95"/>
      <c r="AD117" s="66" t="s">
        <v>2</v>
      </c>
      <c r="AE117" s="66" t="s">
        <v>150</v>
      </c>
      <c r="AF117" s="72">
        <v>1600000</v>
      </c>
      <c r="AG117" s="74">
        <f>IFERROR(VLOOKUP(AD117,_xlfn.VSTACK(Table1[],Table14[],Table16[],Table18[],Table110[]),2,0),0)</f>
        <v>1600000</v>
      </c>
      <c r="AH117" s="108">
        <f t="shared" si="8"/>
        <v>0</v>
      </c>
    </row>
    <row r="118" spans="19:34" ht="24" customHeight="1" x14ac:dyDescent="0.25">
      <c r="S118" s="58"/>
      <c r="T118" s="66"/>
      <c r="U118" s="66"/>
      <c r="V118" s="66"/>
      <c r="W118" s="92"/>
      <c r="AD118" s="66" t="s">
        <v>2</v>
      </c>
      <c r="AE118" s="66" t="s">
        <v>159</v>
      </c>
      <c r="AF118" s="72">
        <v>1600000</v>
      </c>
      <c r="AG118" s="74">
        <f>IFERROR(VLOOKUP(AD118,_xlfn.VSTACK(Table1[],Table14[],Table16[],Table18[],Table110[]),2,0),0)</f>
        <v>1600000</v>
      </c>
      <c r="AH118" s="108">
        <f t="shared" si="8"/>
        <v>0</v>
      </c>
    </row>
    <row r="119" spans="19:34" ht="24" customHeight="1" x14ac:dyDescent="0.25">
      <c r="S119" s="93"/>
      <c r="T119" s="94"/>
      <c r="U119" s="94"/>
      <c r="V119" s="94"/>
      <c r="W119" s="95"/>
      <c r="AD119" s="66" t="s">
        <v>2</v>
      </c>
      <c r="AE119" s="66" t="s">
        <v>160</v>
      </c>
      <c r="AF119" s="72">
        <v>1000000</v>
      </c>
      <c r="AG119" s="74">
        <f>IFERROR(VLOOKUP(AD119,_xlfn.VSTACK(Table1[],Table14[],Table16[],Table18[],Table110[]),2,0),0)</f>
        <v>1600000</v>
      </c>
      <c r="AH119" s="108">
        <f t="shared" si="8"/>
        <v>600000</v>
      </c>
    </row>
    <row r="120" spans="19:34" ht="24" customHeight="1" x14ac:dyDescent="0.25">
      <c r="S120" s="58"/>
      <c r="T120" s="66"/>
      <c r="U120" s="66"/>
      <c r="V120" s="66"/>
      <c r="W120" s="92"/>
      <c r="AD120" s="66" t="s">
        <v>2</v>
      </c>
      <c r="AE120" s="66" t="s">
        <v>161</v>
      </c>
      <c r="AF120" s="72">
        <v>1000000</v>
      </c>
      <c r="AG120" s="74">
        <f>IFERROR(VLOOKUP(AD120,_xlfn.VSTACK(Table1[],Table14[],Table16[],Table18[],Table110[]),2,0),0)</f>
        <v>1600000</v>
      </c>
      <c r="AH120" s="108">
        <f t="shared" si="8"/>
        <v>600000</v>
      </c>
    </row>
    <row r="121" spans="19:34" ht="24" customHeight="1" x14ac:dyDescent="0.25">
      <c r="S121" s="93"/>
      <c r="T121" s="94"/>
      <c r="U121" s="94"/>
      <c r="V121" s="94"/>
      <c r="W121" s="95"/>
      <c r="AD121" s="66" t="s">
        <v>18</v>
      </c>
      <c r="AE121" s="66" t="s">
        <v>152</v>
      </c>
      <c r="AF121" s="72">
        <v>150000</v>
      </c>
      <c r="AG121" s="74">
        <f>IFERROR(VLOOKUP(AD121,_xlfn.VSTACK(Table1[],Table14[],Table16[],Table18[],Table110[]),2,0),0)</f>
        <v>300000</v>
      </c>
      <c r="AH121" s="108">
        <f t="shared" si="8"/>
        <v>150000</v>
      </c>
    </row>
    <row r="122" spans="19:34" ht="24" customHeight="1" x14ac:dyDescent="0.25">
      <c r="S122" s="58"/>
      <c r="T122" s="66"/>
      <c r="U122" s="66"/>
      <c r="V122" s="66"/>
      <c r="W122" s="92"/>
      <c r="AD122" s="66" t="s">
        <v>18</v>
      </c>
      <c r="AE122" s="66" t="s">
        <v>153</v>
      </c>
      <c r="AF122" s="72">
        <v>265000</v>
      </c>
      <c r="AG122" s="74">
        <f>IFERROR(VLOOKUP(AD122,_xlfn.VSTACK(Table1[],Table14[],Table16[],Table18[],Table110[]),2,0),0)</f>
        <v>300000</v>
      </c>
      <c r="AH122" s="108">
        <f t="shared" si="8"/>
        <v>35000</v>
      </c>
    </row>
    <row r="123" spans="19:34" ht="24" customHeight="1" x14ac:dyDescent="0.25">
      <c r="S123" s="93"/>
      <c r="T123" s="94"/>
      <c r="U123" s="94"/>
      <c r="V123" s="94"/>
      <c r="W123" s="95"/>
      <c r="AD123" s="66" t="s">
        <v>18</v>
      </c>
      <c r="AE123" s="66" t="s">
        <v>155</v>
      </c>
      <c r="AF123" s="72">
        <v>275000</v>
      </c>
      <c r="AG123" s="74">
        <f>IFERROR(VLOOKUP(AD123,_xlfn.VSTACK(Table1[],Table14[],Table16[],Table18[],Table110[]),2,0),0)</f>
        <v>300000</v>
      </c>
      <c r="AH123" s="108">
        <f t="shared" si="8"/>
        <v>25000</v>
      </c>
    </row>
    <row r="124" spans="19:34" ht="24" customHeight="1" x14ac:dyDescent="0.25">
      <c r="S124" s="58"/>
      <c r="T124" s="66"/>
      <c r="U124" s="66"/>
      <c r="V124" s="66"/>
      <c r="W124" s="92"/>
      <c r="AD124" s="66" t="s">
        <v>18</v>
      </c>
      <c r="AE124" s="66" t="s">
        <v>156</v>
      </c>
      <c r="AF124" s="72">
        <v>150000</v>
      </c>
      <c r="AG124" s="74">
        <f>IFERROR(VLOOKUP(AD124,_xlfn.VSTACK(Table1[],Table14[],Table16[],Table18[],Table110[]),2,0),0)</f>
        <v>300000</v>
      </c>
      <c r="AH124" s="108">
        <f t="shared" si="8"/>
        <v>150000</v>
      </c>
    </row>
    <row r="125" spans="19:34" ht="24" customHeight="1" x14ac:dyDescent="0.25">
      <c r="S125" s="93"/>
      <c r="T125" s="94"/>
      <c r="U125" s="94"/>
      <c r="V125" s="94"/>
      <c r="W125" s="95"/>
      <c r="AD125" s="66" t="s">
        <v>18</v>
      </c>
      <c r="AE125" s="66" t="s">
        <v>157</v>
      </c>
      <c r="AF125" s="72">
        <v>258000</v>
      </c>
      <c r="AG125" s="74">
        <f>IFERROR(VLOOKUP(AD125,_xlfn.VSTACK(Table1[],Table14[],Table16[],Table18[],Table110[]),2,0),0)</f>
        <v>300000</v>
      </c>
      <c r="AH125" s="108">
        <f t="shared" si="8"/>
        <v>42000</v>
      </c>
    </row>
    <row r="126" spans="19:34" ht="24" customHeight="1" x14ac:dyDescent="0.25">
      <c r="S126" s="58"/>
      <c r="T126" s="66"/>
      <c r="U126" s="66"/>
      <c r="V126" s="66"/>
      <c r="W126" s="92"/>
      <c r="AD126" s="66" t="s">
        <v>18</v>
      </c>
      <c r="AE126" s="66" t="s">
        <v>150</v>
      </c>
      <c r="AF126" s="72">
        <v>200000</v>
      </c>
      <c r="AG126" s="74">
        <f>IFERROR(VLOOKUP(AD126,_xlfn.VSTACK(Table1[],Table14[],Table16[],Table18[],Table110[]),2,0),0)</f>
        <v>300000</v>
      </c>
      <c r="AH126" s="108">
        <f t="shared" si="8"/>
        <v>100000</v>
      </c>
    </row>
    <row r="127" spans="19:34" ht="24" customHeight="1" x14ac:dyDescent="0.25">
      <c r="S127" s="93"/>
      <c r="T127" s="94"/>
      <c r="U127" s="94"/>
      <c r="V127" s="94"/>
      <c r="W127" s="95"/>
      <c r="AD127" s="66" t="s">
        <v>18</v>
      </c>
      <c r="AE127" s="66" t="s">
        <v>159</v>
      </c>
      <c r="AF127" s="72">
        <v>261000</v>
      </c>
      <c r="AG127" s="74">
        <f>IFERROR(VLOOKUP(AD127,_xlfn.VSTACK(Table1[],Table14[],Table16[],Table18[],Table110[]),2,0),0)</f>
        <v>300000</v>
      </c>
      <c r="AH127" s="108">
        <f t="shared" si="8"/>
        <v>39000</v>
      </c>
    </row>
    <row r="128" spans="19:34" ht="24" customHeight="1" x14ac:dyDescent="0.25">
      <c r="S128" s="58"/>
      <c r="T128" s="66"/>
      <c r="U128" s="66"/>
      <c r="V128" s="66"/>
      <c r="W128" s="92"/>
      <c r="AD128" s="66" t="s">
        <v>18</v>
      </c>
      <c r="AE128" s="66" t="s">
        <v>160</v>
      </c>
      <c r="AF128" s="72">
        <v>258000</v>
      </c>
      <c r="AG128" s="74">
        <f>IFERROR(VLOOKUP(AD128,_xlfn.VSTACK(Table1[],Table14[],Table16[],Table18[],Table110[]),2,0),0)</f>
        <v>300000</v>
      </c>
      <c r="AH128" s="108">
        <f t="shared" si="8"/>
        <v>42000</v>
      </c>
    </row>
    <row r="129" spans="19:34" ht="24" customHeight="1" x14ac:dyDescent="0.25">
      <c r="S129" s="93"/>
      <c r="T129" s="94"/>
      <c r="U129" s="94"/>
      <c r="V129" s="94"/>
      <c r="W129" s="95"/>
      <c r="AD129" s="66" t="s">
        <v>18</v>
      </c>
      <c r="AE129" s="66" t="s">
        <v>161</v>
      </c>
      <c r="AF129" s="72">
        <v>300000</v>
      </c>
      <c r="AG129" s="74">
        <f>IFERROR(VLOOKUP(AD129,_xlfn.VSTACK(Table1[],Table14[],Table16[],Table18[],Table110[]),2,0),0)</f>
        <v>300000</v>
      </c>
      <c r="AH129" s="108">
        <f t="shared" si="8"/>
        <v>0</v>
      </c>
    </row>
    <row r="130" spans="19:34" ht="24" customHeight="1" x14ac:dyDescent="0.25">
      <c r="S130" s="58"/>
      <c r="T130" s="66"/>
      <c r="U130" s="66"/>
      <c r="V130" s="66"/>
      <c r="W130" s="92"/>
      <c r="AD130" s="66" t="s">
        <v>13</v>
      </c>
      <c r="AE130" s="66" t="s">
        <v>152</v>
      </c>
      <c r="AF130" s="72">
        <v>265000</v>
      </c>
      <c r="AG130" s="74">
        <f>IFERROR(VLOOKUP(AD130,_xlfn.VSTACK(Table1[],Table14[],Table16[],Table18[],Table110[]),2,0),0)</f>
        <v>300000</v>
      </c>
      <c r="AH130" s="108">
        <f t="shared" si="8"/>
        <v>35000</v>
      </c>
    </row>
    <row r="131" spans="19:34" ht="24" customHeight="1" x14ac:dyDescent="0.25">
      <c r="S131" s="93"/>
      <c r="T131" s="94"/>
      <c r="U131" s="94"/>
      <c r="V131" s="94"/>
      <c r="W131" s="95"/>
      <c r="AD131" s="66" t="s">
        <v>13</v>
      </c>
      <c r="AE131" s="66" t="s">
        <v>153</v>
      </c>
      <c r="AF131" s="72">
        <v>280000</v>
      </c>
      <c r="AG131" s="74">
        <f>IFERROR(VLOOKUP(AD131,_xlfn.VSTACK(Table1[],Table14[],Table16[],Table18[],Table110[]),2,0),0)</f>
        <v>300000</v>
      </c>
      <c r="AH131" s="108">
        <f t="shared" si="8"/>
        <v>20000</v>
      </c>
    </row>
    <row r="132" spans="19:34" ht="24" customHeight="1" x14ac:dyDescent="0.25">
      <c r="S132" s="58"/>
      <c r="T132" s="66"/>
      <c r="U132" s="66"/>
      <c r="V132" s="66"/>
      <c r="W132" s="92"/>
      <c r="AD132" s="66" t="s">
        <v>13</v>
      </c>
      <c r="AE132" s="66" t="s">
        <v>154</v>
      </c>
      <c r="AF132" s="72">
        <v>281000</v>
      </c>
      <c r="AG132" s="74">
        <f>IFERROR(VLOOKUP(AD132,_xlfn.VSTACK(Table1[],Table14[],Table16[],Table18[],Table110[]),2,0),0)</f>
        <v>300000</v>
      </c>
      <c r="AH132" s="108">
        <f t="shared" ref="AH132:AH195" si="9">AG132-AF132</f>
        <v>19000</v>
      </c>
    </row>
    <row r="133" spans="19:34" ht="24" customHeight="1" x14ac:dyDescent="0.25">
      <c r="S133" s="93"/>
      <c r="T133" s="94"/>
      <c r="U133" s="94"/>
      <c r="V133" s="94"/>
      <c r="W133" s="95"/>
      <c r="AD133" s="66" t="s">
        <v>13</v>
      </c>
      <c r="AE133" s="66" t="s">
        <v>155</v>
      </c>
      <c r="AF133" s="72">
        <v>292000</v>
      </c>
      <c r="AG133" s="74">
        <f>IFERROR(VLOOKUP(AD133,_xlfn.VSTACK(Table1[],Table14[],Table16[],Table18[],Table110[]),2,0),0)</f>
        <v>300000</v>
      </c>
      <c r="AH133" s="108">
        <f t="shared" si="9"/>
        <v>8000</v>
      </c>
    </row>
    <row r="134" spans="19:34" ht="24" customHeight="1" x14ac:dyDescent="0.25">
      <c r="S134" s="58"/>
      <c r="T134" s="66"/>
      <c r="U134" s="66"/>
      <c r="V134" s="66"/>
      <c r="W134" s="92"/>
      <c r="AD134" s="66" t="s">
        <v>13</v>
      </c>
      <c r="AE134" s="66" t="s">
        <v>156</v>
      </c>
      <c r="AF134" s="72">
        <v>300000</v>
      </c>
      <c r="AG134" s="74">
        <f>IFERROR(VLOOKUP(AD134,_xlfn.VSTACK(Table1[],Table14[],Table16[],Table18[],Table110[]),2,0),0)</f>
        <v>300000</v>
      </c>
      <c r="AH134" s="108">
        <f t="shared" si="9"/>
        <v>0</v>
      </c>
    </row>
    <row r="135" spans="19:34" ht="24" customHeight="1" x14ac:dyDescent="0.25">
      <c r="S135" s="93"/>
      <c r="T135" s="94"/>
      <c r="U135" s="94"/>
      <c r="V135" s="94"/>
      <c r="W135" s="95"/>
      <c r="AD135" s="66" t="s">
        <v>13</v>
      </c>
      <c r="AE135" s="66" t="s">
        <v>157</v>
      </c>
      <c r="AF135" s="72">
        <v>304000</v>
      </c>
      <c r="AG135" s="74">
        <f>IFERROR(VLOOKUP(AD135,_xlfn.VSTACK(Table1[],Table14[],Table16[],Table18[],Table110[]),2,0),0)</f>
        <v>300000</v>
      </c>
      <c r="AH135" s="108">
        <f t="shared" si="9"/>
        <v>-4000</v>
      </c>
    </row>
    <row r="136" spans="19:34" ht="24" customHeight="1" x14ac:dyDescent="0.25">
      <c r="S136" s="58"/>
      <c r="T136" s="66"/>
      <c r="U136" s="66"/>
      <c r="V136" s="66"/>
      <c r="W136" s="92"/>
      <c r="AD136" s="66" t="s">
        <v>13</v>
      </c>
      <c r="AE136" s="66" t="s">
        <v>158</v>
      </c>
      <c r="AF136" s="72">
        <v>310000</v>
      </c>
      <c r="AG136" s="74">
        <f>IFERROR(VLOOKUP(AD136,_xlfn.VSTACK(Table1[],Table14[],Table16[],Table18[],Table110[]),2,0),0)</f>
        <v>300000</v>
      </c>
      <c r="AH136" s="108">
        <f t="shared" si="9"/>
        <v>-10000</v>
      </c>
    </row>
    <row r="137" spans="19:34" ht="24" customHeight="1" x14ac:dyDescent="0.25">
      <c r="S137" s="93"/>
      <c r="T137" s="94"/>
      <c r="U137" s="94"/>
      <c r="V137" s="94"/>
      <c r="W137" s="95"/>
      <c r="AD137" s="66" t="s">
        <v>13</v>
      </c>
      <c r="AE137" s="66" t="s">
        <v>150</v>
      </c>
      <c r="AF137" s="72">
        <v>301000</v>
      </c>
      <c r="AG137" s="74">
        <f>IFERROR(VLOOKUP(AD137,_xlfn.VSTACK(Table1[],Table14[],Table16[],Table18[],Table110[]),2,0),0)</f>
        <v>300000</v>
      </c>
      <c r="AH137" s="108">
        <f t="shared" si="9"/>
        <v>-1000</v>
      </c>
    </row>
    <row r="138" spans="19:34" ht="24" customHeight="1" x14ac:dyDescent="0.25">
      <c r="S138" s="58"/>
      <c r="T138" s="66"/>
      <c r="U138" s="66"/>
      <c r="V138" s="66"/>
      <c r="W138" s="92"/>
      <c r="AD138" s="66" t="s">
        <v>13</v>
      </c>
      <c r="AE138" s="66" t="s">
        <v>159</v>
      </c>
      <c r="AF138" s="72">
        <v>289000</v>
      </c>
      <c r="AG138" s="74">
        <f>IFERROR(VLOOKUP(AD138,_xlfn.VSTACK(Table1[],Table14[],Table16[],Table18[],Table110[]),2,0),0)</f>
        <v>300000</v>
      </c>
      <c r="AH138" s="108">
        <f t="shared" si="9"/>
        <v>11000</v>
      </c>
    </row>
    <row r="139" spans="19:34" ht="24" customHeight="1" x14ac:dyDescent="0.25">
      <c r="S139" s="93"/>
      <c r="T139" s="94"/>
      <c r="U139" s="94"/>
      <c r="V139" s="94"/>
      <c r="W139" s="95"/>
      <c r="AD139" s="66" t="s">
        <v>13</v>
      </c>
      <c r="AE139" s="66" t="s">
        <v>160</v>
      </c>
      <c r="AF139" s="72">
        <v>277000</v>
      </c>
      <c r="AG139" s="74">
        <f>IFERROR(VLOOKUP(AD139,_xlfn.VSTACK(Table1[],Table14[],Table16[],Table18[],Table110[]),2,0),0)</f>
        <v>300000</v>
      </c>
      <c r="AH139" s="108">
        <f t="shared" si="9"/>
        <v>23000</v>
      </c>
    </row>
    <row r="140" spans="19:34" ht="24" customHeight="1" x14ac:dyDescent="0.25">
      <c r="S140" s="58"/>
      <c r="T140" s="66"/>
      <c r="U140" s="66"/>
      <c r="V140" s="66"/>
      <c r="W140" s="92"/>
      <c r="AD140" s="66" t="s">
        <v>13</v>
      </c>
      <c r="AE140" s="66" t="s">
        <v>161</v>
      </c>
      <c r="AF140" s="72">
        <v>194000</v>
      </c>
      <c r="AG140" s="74">
        <f>IFERROR(VLOOKUP(AD140,_xlfn.VSTACK(Table1[],Table14[],Table16[],Table18[],Table110[]),2,0),0)</f>
        <v>300000</v>
      </c>
      <c r="AH140" s="108">
        <f t="shared" si="9"/>
        <v>106000</v>
      </c>
    </row>
    <row r="141" spans="19:34" ht="24" customHeight="1" x14ac:dyDescent="0.25">
      <c r="S141" s="93"/>
      <c r="T141" s="94"/>
      <c r="U141" s="94"/>
      <c r="V141" s="94"/>
      <c r="W141" s="95"/>
      <c r="AD141" s="66" t="s">
        <v>20</v>
      </c>
      <c r="AE141" s="66" t="s">
        <v>152</v>
      </c>
      <c r="AF141" s="72">
        <v>500000</v>
      </c>
      <c r="AG141" s="74">
        <f>IFERROR(VLOOKUP(AD141,_xlfn.VSTACK(Table1[],Table14[],Table16[],Table18[],Table110[]),2,0),0)</f>
        <v>500000</v>
      </c>
      <c r="AH141" s="108">
        <f t="shared" si="9"/>
        <v>0</v>
      </c>
    </row>
    <row r="142" spans="19:34" ht="24" customHeight="1" x14ac:dyDescent="0.25">
      <c r="S142" s="58"/>
      <c r="T142" s="66"/>
      <c r="U142" s="66"/>
      <c r="V142" s="66"/>
      <c r="W142" s="92"/>
      <c r="AD142" s="66" t="s">
        <v>20</v>
      </c>
      <c r="AE142" s="66" t="s">
        <v>153</v>
      </c>
      <c r="AF142" s="72">
        <v>500000</v>
      </c>
      <c r="AG142" s="74">
        <f>IFERROR(VLOOKUP(AD142,_xlfn.VSTACK(Table1[],Table14[],Table16[],Table18[],Table110[]),2,0),0)</f>
        <v>500000</v>
      </c>
      <c r="AH142" s="108">
        <f t="shared" si="9"/>
        <v>0</v>
      </c>
    </row>
    <row r="143" spans="19:34" ht="24" customHeight="1" x14ac:dyDescent="0.25">
      <c r="S143" s="93"/>
      <c r="T143" s="94"/>
      <c r="U143" s="94"/>
      <c r="V143" s="94"/>
      <c r="W143" s="95"/>
      <c r="AD143" s="66" t="s">
        <v>20</v>
      </c>
      <c r="AE143" s="66" t="s">
        <v>154</v>
      </c>
      <c r="AF143" s="72">
        <v>500000</v>
      </c>
      <c r="AG143" s="74">
        <f>IFERROR(VLOOKUP(AD143,_xlfn.VSTACK(Table1[],Table14[],Table16[],Table18[],Table110[]),2,0),0)</f>
        <v>500000</v>
      </c>
      <c r="AH143" s="108">
        <f t="shared" si="9"/>
        <v>0</v>
      </c>
    </row>
    <row r="144" spans="19:34" ht="24" customHeight="1" x14ac:dyDescent="0.25">
      <c r="S144" s="58"/>
      <c r="T144" s="66"/>
      <c r="U144" s="66"/>
      <c r="V144" s="66"/>
      <c r="W144" s="92"/>
      <c r="AD144" s="66" t="s">
        <v>20</v>
      </c>
      <c r="AE144" s="66" t="s">
        <v>155</v>
      </c>
      <c r="AF144" s="72">
        <v>500000</v>
      </c>
      <c r="AG144" s="74">
        <f>IFERROR(VLOOKUP(AD144,_xlfn.VSTACK(Table1[],Table14[],Table16[],Table18[],Table110[]),2,0),0)</f>
        <v>500000</v>
      </c>
      <c r="AH144" s="108">
        <f t="shared" si="9"/>
        <v>0</v>
      </c>
    </row>
    <row r="145" spans="19:34" ht="24" customHeight="1" x14ac:dyDescent="0.25">
      <c r="S145" s="93"/>
      <c r="T145" s="94"/>
      <c r="U145" s="94"/>
      <c r="V145" s="94"/>
      <c r="W145" s="95"/>
      <c r="AD145" s="66" t="s">
        <v>20</v>
      </c>
      <c r="AE145" s="66" t="s">
        <v>156</v>
      </c>
      <c r="AF145" s="72">
        <v>500000</v>
      </c>
      <c r="AG145" s="74">
        <f>IFERROR(VLOOKUP(AD145,_xlfn.VSTACK(Table1[],Table14[],Table16[],Table18[],Table110[]),2,0),0)</f>
        <v>500000</v>
      </c>
      <c r="AH145" s="108">
        <f t="shared" si="9"/>
        <v>0</v>
      </c>
    </row>
    <row r="146" spans="19:34" ht="24" customHeight="1" x14ac:dyDescent="0.25">
      <c r="S146" s="58"/>
      <c r="T146" s="66"/>
      <c r="U146" s="66"/>
      <c r="V146" s="66"/>
      <c r="W146" s="92"/>
      <c r="AD146" s="66" t="s">
        <v>20</v>
      </c>
      <c r="AE146" s="66" t="s">
        <v>157</v>
      </c>
      <c r="AF146" s="72">
        <v>500000</v>
      </c>
      <c r="AG146" s="74">
        <f>IFERROR(VLOOKUP(AD146,_xlfn.VSTACK(Table1[],Table14[],Table16[],Table18[],Table110[]),2,0),0)</f>
        <v>500000</v>
      </c>
      <c r="AH146" s="108">
        <f t="shared" si="9"/>
        <v>0</v>
      </c>
    </row>
    <row r="147" spans="19:34" ht="24" customHeight="1" x14ac:dyDescent="0.25">
      <c r="S147" s="93"/>
      <c r="T147" s="94"/>
      <c r="U147" s="94"/>
      <c r="V147" s="94"/>
      <c r="W147" s="95"/>
      <c r="AD147" s="66" t="s">
        <v>20</v>
      </c>
      <c r="AE147" s="66" t="s">
        <v>158</v>
      </c>
      <c r="AF147" s="72">
        <v>1000000</v>
      </c>
      <c r="AG147" s="74">
        <f>IFERROR(VLOOKUP(AD147,_xlfn.VSTACK(Table1[],Table14[],Table16[],Table18[],Table110[]),2,0),0)</f>
        <v>500000</v>
      </c>
      <c r="AH147" s="108">
        <f t="shared" si="9"/>
        <v>-500000</v>
      </c>
    </row>
    <row r="148" spans="19:34" ht="24" customHeight="1" x14ac:dyDescent="0.25">
      <c r="S148" s="58"/>
      <c r="T148" s="66"/>
      <c r="U148" s="66"/>
      <c r="V148" s="66"/>
      <c r="W148" s="92"/>
      <c r="AD148" s="66" t="s">
        <v>20</v>
      </c>
      <c r="AE148" s="66" t="s">
        <v>150</v>
      </c>
      <c r="AF148" s="72">
        <v>500000</v>
      </c>
      <c r="AG148" s="74">
        <f>IFERROR(VLOOKUP(AD148,_xlfn.VSTACK(Table1[],Table14[],Table16[],Table18[],Table110[]),2,0),0)</f>
        <v>500000</v>
      </c>
      <c r="AH148" s="108">
        <f t="shared" si="9"/>
        <v>0</v>
      </c>
    </row>
    <row r="149" spans="19:34" ht="24" customHeight="1" x14ac:dyDescent="0.25">
      <c r="S149" s="93"/>
      <c r="T149" s="94"/>
      <c r="U149" s="94"/>
      <c r="V149" s="94"/>
      <c r="W149" s="95"/>
      <c r="AD149" s="66" t="s">
        <v>20</v>
      </c>
      <c r="AE149" s="66" t="s">
        <v>159</v>
      </c>
      <c r="AF149" s="72">
        <v>500000</v>
      </c>
      <c r="AG149" s="74">
        <f>IFERROR(VLOOKUP(AD149,_xlfn.VSTACK(Table1[],Table14[],Table16[],Table18[],Table110[]),2,0),0)</f>
        <v>500000</v>
      </c>
      <c r="AH149" s="108">
        <f t="shared" si="9"/>
        <v>0</v>
      </c>
    </row>
    <row r="150" spans="19:34" ht="24" customHeight="1" x14ac:dyDescent="0.25">
      <c r="S150" s="58"/>
      <c r="T150" s="66"/>
      <c r="U150" s="66"/>
      <c r="V150" s="66"/>
      <c r="W150" s="92"/>
      <c r="AD150" s="66" t="s">
        <v>20</v>
      </c>
      <c r="AE150" s="66" t="s">
        <v>160</v>
      </c>
      <c r="AF150" s="72">
        <v>500000</v>
      </c>
      <c r="AG150" s="74">
        <f>IFERROR(VLOOKUP(AD150,_xlfn.VSTACK(Table1[],Table14[],Table16[],Table18[],Table110[]),2,0),0)</f>
        <v>500000</v>
      </c>
      <c r="AH150" s="108">
        <f t="shared" si="9"/>
        <v>0</v>
      </c>
    </row>
    <row r="151" spans="19:34" ht="24" customHeight="1" x14ac:dyDescent="0.25">
      <c r="S151" s="93"/>
      <c r="T151" s="94"/>
      <c r="U151" s="94"/>
      <c r="V151" s="94"/>
      <c r="W151" s="95"/>
      <c r="AD151" s="66" t="s">
        <v>20</v>
      </c>
      <c r="AE151" s="66" t="s">
        <v>161</v>
      </c>
      <c r="AF151" s="72">
        <v>500000</v>
      </c>
      <c r="AG151" s="74">
        <f>IFERROR(VLOOKUP(AD151,_xlfn.VSTACK(Table1[],Table14[],Table16[],Table18[],Table110[]),2,0),0)</f>
        <v>500000</v>
      </c>
      <c r="AH151" s="108">
        <f t="shared" si="9"/>
        <v>0</v>
      </c>
    </row>
    <row r="152" spans="19:34" ht="24" customHeight="1" x14ac:dyDescent="0.25">
      <c r="S152" s="58"/>
      <c r="T152" s="66"/>
      <c r="U152" s="66"/>
      <c r="V152" s="66"/>
      <c r="W152" s="92"/>
      <c r="AD152"/>
      <c r="AE152"/>
      <c r="AF152"/>
      <c r="AG152" s="74">
        <f>IFERROR(VLOOKUP(AD152,_xlfn.VSTACK(Table1[],Table14[],Table16[],Table18[],Table110[]),2,0),0)</f>
        <v>0</v>
      </c>
      <c r="AH152" s="108">
        <f t="shared" si="9"/>
        <v>0</v>
      </c>
    </row>
    <row r="153" spans="19:34" ht="24" customHeight="1" x14ac:dyDescent="0.25">
      <c r="S153" s="93"/>
      <c r="T153" s="94"/>
      <c r="U153" s="94"/>
      <c r="V153" s="94"/>
      <c r="W153" s="95"/>
      <c r="AD153"/>
      <c r="AE153"/>
      <c r="AF153"/>
      <c r="AG153" s="74">
        <f>IFERROR(VLOOKUP(AD153,_xlfn.VSTACK(Table1[],Table14[],Table16[],Table18[],Table110[]),2,0),0)</f>
        <v>0</v>
      </c>
      <c r="AH153" s="108">
        <f t="shared" si="9"/>
        <v>0</v>
      </c>
    </row>
    <row r="154" spans="19:34" ht="24" customHeight="1" x14ac:dyDescent="0.25">
      <c r="S154" s="58"/>
      <c r="T154" s="66"/>
      <c r="U154" s="66"/>
      <c r="V154" s="66"/>
      <c r="W154" s="92"/>
      <c r="AD154"/>
      <c r="AE154"/>
      <c r="AF154"/>
      <c r="AG154" s="74">
        <f>IFERROR(VLOOKUP(AD154,_xlfn.VSTACK(Table1[],Table14[],Table16[],Table18[],Table110[]),2,0),0)</f>
        <v>0</v>
      </c>
      <c r="AH154" s="108">
        <f t="shared" si="9"/>
        <v>0</v>
      </c>
    </row>
    <row r="155" spans="19:34" ht="24" customHeight="1" x14ac:dyDescent="0.25">
      <c r="S155" s="93"/>
      <c r="T155" s="94"/>
      <c r="U155" s="94"/>
      <c r="V155" s="94"/>
      <c r="W155" s="95"/>
      <c r="AD155"/>
      <c r="AE155"/>
      <c r="AF155"/>
      <c r="AG155" s="74">
        <f>IFERROR(VLOOKUP(AD155,_xlfn.VSTACK(Table1[],Table14[],Table16[],Table18[],Table110[]),2,0),0)</f>
        <v>0</v>
      </c>
      <c r="AH155" s="108">
        <f t="shared" si="9"/>
        <v>0</v>
      </c>
    </row>
    <row r="156" spans="19:34" ht="24" customHeight="1" x14ac:dyDescent="0.25">
      <c r="S156" s="58"/>
      <c r="T156" s="66"/>
      <c r="U156" s="66"/>
      <c r="V156" s="66"/>
      <c r="W156" s="92"/>
      <c r="AG156" s="74">
        <f>IFERROR(VLOOKUP(AD156,_xlfn.VSTACK(Table1[],Table14[],Table16[],Table18[],Table110[]),2,0),0)</f>
        <v>0</v>
      </c>
      <c r="AH156" s="108">
        <f t="shared" si="9"/>
        <v>0</v>
      </c>
    </row>
    <row r="157" spans="19:34" ht="24" customHeight="1" x14ac:dyDescent="0.25">
      <c r="S157" s="93"/>
      <c r="T157" s="94"/>
      <c r="U157" s="94"/>
      <c r="V157" s="94"/>
      <c r="W157" s="95"/>
      <c r="AG157" s="74">
        <f>IFERROR(VLOOKUP(AD157,_xlfn.VSTACK(Table1[],Table14[],Table16[],Table18[],Table110[]),2,0),0)</f>
        <v>0</v>
      </c>
      <c r="AH157" s="108">
        <f t="shared" si="9"/>
        <v>0</v>
      </c>
    </row>
    <row r="158" spans="19:34" ht="24" customHeight="1" x14ac:dyDescent="0.25">
      <c r="S158" s="58"/>
      <c r="T158" s="66"/>
      <c r="U158" s="66"/>
      <c r="V158" s="66"/>
      <c r="W158" s="92"/>
      <c r="AG158" s="74">
        <f>IFERROR(VLOOKUP(AD158,_xlfn.VSTACK(Table1[],Table14[],Table16[],Table18[],Table110[]),2,0),0)</f>
        <v>0</v>
      </c>
      <c r="AH158" s="108">
        <f t="shared" si="9"/>
        <v>0</v>
      </c>
    </row>
    <row r="159" spans="19:34" ht="24" customHeight="1" x14ac:dyDescent="0.25">
      <c r="S159" s="93"/>
      <c r="T159" s="94"/>
      <c r="U159" s="94"/>
      <c r="V159" s="94"/>
      <c r="W159" s="95"/>
      <c r="AG159" s="74">
        <f>IFERROR(VLOOKUP(AD159,_xlfn.VSTACK(Table1[],Table14[],Table16[],Table18[],Table110[]),2,0),0)</f>
        <v>0</v>
      </c>
      <c r="AH159" s="108">
        <f t="shared" si="9"/>
        <v>0</v>
      </c>
    </row>
    <row r="160" spans="19:34" ht="24" customHeight="1" x14ac:dyDescent="0.25">
      <c r="S160" s="58"/>
      <c r="T160" s="66"/>
      <c r="U160" s="66"/>
      <c r="V160" s="66"/>
      <c r="W160" s="92"/>
      <c r="AG160" s="74">
        <f>IFERROR(VLOOKUP(AD160,_xlfn.VSTACK(Table1[],Table14[],Table16[],Table18[],Table110[]),2,0),0)</f>
        <v>0</v>
      </c>
      <c r="AH160" s="108">
        <f t="shared" si="9"/>
        <v>0</v>
      </c>
    </row>
    <row r="161" spans="19:34" ht="24" customHeight="1" x14ac:dyDescent="0.25">
      <c r="S161" s="93"/>
      <c r="T161" s="94"/>
      <c r="U161" s="94"/>
      <c r="V161" s="94"/>
      <c r="W161" s="95"/>
      <c r="AG161" s="74">
        <f>IFERROR(VLOOKUP(AD161,_xlfn.VSTACK(Table1[],Table14[],Table16[],Table18[],Table110[]),2,0),0)</f>
        <v>0</v>
      </c>
      <c r="AH161" s="108">
        <f t="shared" si="9"/>
        <v>0</v>
      </c>
    </row>
    <row r="162" spans="19:34" ht="24" customHeight="1" x14ac:dyDescent="0.25">
      <c r="S162" s="58"/>
      <c r="T162" s="66"/>
      <c r="U162" s="66"/>
      <c r="V162" s="66"/>
      <c r="W162" s="92"/>
      <c r="AG162" s="74">
        <f>IFERROR(VLOOKUP(AD162,_xlfn.VSTACK(Table1[],Table14[],Table16[],Table18[],Table110[]),2,0),0)</f>
        <v>0</v>
      </c>
      <c r="AH162" s="108">
        <f t="shared" si="9"/>
        <v>0</v>
      </c>
    </row>
    <row r="163" spans="19:34" ht="24" customHeight="1" x14ac:dyDescent="0.25">
      <c r="S163" s="93"/>
      <c r="T163" s="94"/>
      <c r="U163" s="94"/>
      <c r="V163" s="94"/>
      <c r="W163" s="95"/>
      <c r="AG163" s="74">
        <f>IFERROR(VLOOKUP(AD163,_xlfn.VSTACK(Table1[],Table14[],Table16[],Table18[],Table110[]),2,0),0)</f>
        <v>0</v>
      </c>
      <c r="AH163" s="108">
        <f t="shared" si="9"/>
        <v>0</v>
      </c>
    </row>
    <row r="164" spans="19:34" ht="24" customHeight="1" x14ac:dyDescent="0.25">
      <c r="S164" s="58"/>
      <c r="T164" s="66"/>
      <c r="U164" s="66"/>
      <c r="V164" s="66"/>
      <c r="W164" s="92"/>
      <c r="AG164" s="74">
        <f>IFERROR(VLOOKUP(AD164,_xlfn.VSTACK(Table1[],Table14[],Table16[],Table18[],Table110[]),2,0),0)</f>
        <v>0</v>
      </c>
      <c r="AH164" s="108">
        <f t="shared" si="9"/>
        <v>0</v>
      </c>
    </row>
    <row r="165" spans="19:34" ht="24" customHeight="1" x14ac:dyDescent="0.25">
      <c r="S165" s="93"/>
      <c r="T165" s="94"/>
      <c r="U165" s="94"/>
      <c r="V165" s="94"/>
      <c r="W165" s="95"/>
      <c r="AG165" s="74">
        <f>IFERROR(VLOOKUP(AD165,_xlfn.VSTACK(Table1[],Table14[],Table16[],Table18[],Table110[]),2,0),0)</f>
        <v>0</v>
      </c>
      <c r="AH165" s="108">
        <f t="shared" si="9"/>
        <v>0</v>
      </c>
    </row>
    <row r="166" spans="19:34" ht="24" customHeight="1" x14ac:dyDescent="0.25">
      <c r="S166" s="58"/>
      <c r="T166" s="66"/>
      <c r="U166" s="66"/>
      <c r="V166" s="66"/>
      <c r="W166" s="92"/>
      <c r="AG166" s="74">
        <f>IFERROR(VLOOKUP(AD166,_xlfn.VSTACK(Table1[],Table14[],Table16[],Table18[],Table110[]),2,0),0)</f>
        <v>0</v>
      </c>
      <c r="AH166" s="108">
        <f t="shared" si="9"/>
        <v>0</v>
      </c>
    </row>
    <row r="167" spans="19:34" ht="24" customHeight="1" x14ac:dyDescent="0.25">
      <c r="S167" s="93"/>
      <c r="T167" s="94"/>
      <c r="U167" s="94"/>
      <c r="V167" s="94"/>
      <c r="W167" s="95"/>
      <c r="AG167" s="74">
        <f>IFERROR(VLOOKUP(AD167,_xlfn.VSTACK(Table1[],Table14[],Table16[],Table18[],Table110[]),2,0),0)</f>
        <v>0</v>
      </c>
      <c r="AH167" s="108">
        <f t="shared" si="9"/>
        <v>0</v>
      </c>
    </row>
    <row r="168" spans="19:34" ht="24" customHeight="1" x14ac:dyDescent="0.25">
      <c r="S168" s="58"/>
      <c r="T168" s="66"/>
      <c r="U168" s="66"/>
      <c r="V168" s="66"/>
      <c r="W168" s="92"/>
      <c r="AG168" s="74">
        <f>IFERROR(VLOOKUP(AD168,_xlfn.VSTACK(Table1[],Table14[],Table16[],Table18[],Table110[]),2,0),0)</f>
        <v>0</v>
      </c>
      <c r="AH168" s="108">
        <f t="shared" si="9"/>
        <v>0</v>
      </c>
    </row>
    <row r="169" spans="19:34" ht="24" customHeight="1" x14ac:dyDescent="0.25">
      <c r="S169" s="93"/>
      <c r="T169" s="94"/>
      <c r="U169" s="94"/>
      <c r="V169" s="94"/>
      <c r="W169" s="95"/>
      <c r="AG169" s="74">
        <f>IFERROR(VLOOKUP(AD169,_xlfn.VSTACK(Table1[],Table14[],Table16[],Table18[],Table110[]),2,0),0)</f>
        <v>0</v>
      </c>
      <c r="AH169" s="108">
        <f t="shared" si="9"/>
        <v>0</v>
      </c>
    </row>
    <row r="170" spans="19:34" ht="24" customHeight="1" x14ac:dyDescent="0.25">
      <c r="S170" s="58"/>
      <c r="T170" s="66"/>
      <c r="U170" s="66"/>
      <c r="V170" s="66"/>
      <c r="W170" s="92"/>
      <c r="AG170" s="74">
        <f>IFERROR(VLOOKUP(AD170,_xlfn.VSTACK(Table1[],Table14[],Table16[],Table18[],Table110[]),2,0),0)</f>
        <v>0</v>
      </c>
      <c r="AH170" s="108">
        <f t="shared" si="9"/>
        <v>0</v>
      </c>
    </row>
    <row r="171" spans="19:34" ht="24" customHeight="1" x14ac:dyDescent="0.25">
      <c r="S171" s="93"/>
      <c r="T171" s="94"/>
      <c r="U171" s="94"/>
      <c r="V171" s="94"/>
      <c r="W171" s="95"/>
      <c r="AG171" s="74">
        <f>IFERROR(VLOOKUP(AD171,_xlfn.VSTACK(Table1[],Table14[],Table16[],Table18[],Table110[]),2,0),0)</f>
        <v>0</v>
      </c>
      <c r="AH171" s="108">
        <f t="shared" si="9"/>
        <v>0</v>
      </c>
    </row>
    <row r="172" spans="19:34" ht="24" customHeight="1" x14ac:dyDescent="0.25">
      <c r="S172" s="58"/>
      <c r="T172" s="66"/>
      <c r="U172" s="66"/>
      <c r="V172" s="66"/>
      <c r="W172" s="92"/>
      <c r="AG172" s="74">
        <f>IFERROR(VLOOKUP(AD172,_xlfn.VSTACK(Table1[],Table14[],Table16[],Table18[],Table110[]),2,0),0)</f>
        <v>0</v>
      </c>
      <c r="AH172" s="108">
        <f t="shared" si="9"/>
        <v>0</v>
      </c>
    </row>
    <row r="173" spans="19:34" ht="24" customHeight="1" x14ac:dyDescent="0.25">
      <c r="S173" s="93"/>
      <c r="T173" s="94"/>
      <c r="U173" s="94"/>
      <c r="V173" s="94"/>
      <c r="W173" s="95"/>
      <c r="AG173" s="74">
        <f>IFERROR(VLOOKUP(AD173,_xlfn.VSTACK(Table1[],Table14[],Table16[],Table18[],Table110[]),2,0),0)</f>
        <v>0</v>
      </c>
      <c r="AH173" s="108">
        <f t="shared" si="9"/>
        <v>0</v>
      </c>
    </row>
    <row r="174" spans="19:34" ht="24" customHeight="1" x14ac:dyDescent="0.25">
      <c r="S174" s="58"/>
      <c r="T174" s="66"/>
      <c r="U174" s="66"/>
      <c r="V174" s="66"/>
      <c r="W174" s="92"/>
      <c r="AG174" s="74">
        <f>IFERROR(VLOOKUP(AD174,_xlfn.VSTACK(Table1[],Table14[],Table16[],Table18[],Table110[]),2,0),0)</f>
        <v>0</v>
      </c>
      <c r="AH174" s="108">
        <f t="shared" si="9"/>
        <v>0</v>
      </c>
    </row>
    <row r="175" spans="19:34" ht="24" customHeight="1" x14ac:dyDescent="0.25">
      <c r="S175" s="93"/>
      <c r="T175" s="94"/>
      <c r="U175" s="94"/>
      <c r="V175" s="94"/>
      <c r="W175" s="95"/>
      <c r="AG175" s="74">
        <f>IFERROR(VLOOKUP(AD175,_xlfn.VSTACK(Table1[],Table14[],Table16[],Table18[],Table110[]),2,0),0)</f>
        <v>0</v>
      </c>
      <c r="AH175" s="108">
        <f t="shared" si="9"/>
        <v>0</v>
      </c>
    </row>
    <row r="176" spans="19:34" ht="24" customHeight="1" x14ac:dyDescent="0.25">
      <c r="S176" s="58"/>
      <c r="T176" s="66"/>
      <c r="U176" s="66"/>
      <c r="V176" s="66"/>
      <c r="W176" s="92"/>
      <c r="AG176" s="74">
        <f>IFERROR(VLOOKUP(AD176,_xlfn.VSTACK(Table1[],Table14[],Table16[],Table18[],Table110[]),2,0),0)</f>
        <v>0</v>
      </c>
      <c r="AH176" s="108">
        <f t="shared" si="9"/>
        <v>0</v>
      </c>
    </row>
    <row r="177" spans="19:34" ht="24" customHeight="1" x14ac:dyDescent="0.25">
      <c r="S177" s="93"/>
      <c r="T177" s="94"/>
      <c r="U177" s="94"/>
      <c r="V177" s="94"/>
      <c r="W177" s="95"/>
      <c r="AG177" s="74">
        <f>IFERROR(VLOOKUP(AD177,_xlfn.VSTACK(Table1[],Table14[],Table16[],Table18[],Table110[]),2,0),0)</f>
        <v>0</v>
      </c>
      <c r="AH177" s="108">
        <f t="shared" si="9"/>
        <v>0</v>
      </c>
    </row>
    <row r="178" spans="19:34" ht="24" customHeight="1" x14ac:dyDescent="0.25">
      <c r="S178" s="58"/>
      <c r="T178" s="66"/>
      <c r="U178" s="66"/>
      <c r="V178" s="66"/>
      <c r="W178" s="92"/>
      <c r="AG178" s="74">
        <f>IFERROR(VLOOKUP(AD178,_xlfn.VSTACK(Table1[],Table14[],Table16[],Table18[],Table110[]),2,0),0)</f>
        <v>0</v>
      </c>
      <c r="AH178" s="108">
        <f t="shared" si="9"/>
        <v>0</v>
      </c>
    </row>
    <row r="179" spans="19:34" ht="24" customHeight="1" x14ac:dyDescent="0.25">
      <c r="S179" s="93"/>
      <c r="T179" s="94"/>
      <c r="U179" s="94"/>
      <c r="V179" s="94"/>
      <c r="W179" s="95"/>
      <c r="AG179" s="74">
        <f>IFERROR(VLOOKUP(AD179,_xlfn.VSTACK(Table1[],Table14[],Table16[],Table18[],Table110[]),2,0),0)</f>
        <v>0</v>
      </c>
      <c r="AH179" s="108">
        <f t="shared" si="9"/>
        <v>0</v>
      </c>
    </row>
    <row r="180" spans="19:34" ht="24" customHeight="1" x14ac:dyDescent="0.25">
      <c r="S180" s="58"/>
      <c r="T180" s="66"/>
      <c r="U180" s="66"/>
      <c r="V180" s="66"/>
      <c r="W180" s="92"/>
      <c r="AG180" s="74">
        <f>IFERROR(VLOOKUP(AD180,_xlfn.VSTACK(Table1[],Table14[],Table16[],Table18[],Table110[]),2,0),0)</f>
        <v>0</v>
      </c>
      <c r="AH180" s="108">
        <f t="shared" si="9"/>
        <v>0</v>
      </c>
    </row>
    <row r="181" spans="19:34" ht="24" customHeight="1" x14ac:dyDescent="0.25">
      <c r="S181" s="93"/>
      <c r="T181" s="94"/>
      <c r="U181" s="94"/>
      <c r="V181" s="94"/>
      <c r="W181" s="95"/>
      <c r="AG181" s="74">
        <f>IFERROR(VLOOKUP(AD181,_xlfn.VSTACK(Table1[],Table14[],Table16[],Table18[],Table110[]),2,0),0)</f>
        <v>0</v>
      </c>
      <c r="AH181" s="108">
        <f t="shared" si="9"/>
        <v>0</v>
      </c>
    </row>
    <row r="182" spans="19:34" ht="24" customHeight="1" x14ac:dyDescent="0.25">
      <c r="S182" s="58"/>
      <c r="T182" s="66"/>
      <c r="U182" s="66"/>
      <c r="V182" s="66"/>
      <c r="W182" s="92"/>
      <c r="AG182" s="74">
        <f>IFERROR(VLOOKUP(AD182,_xlfn.VSTACK(Table1[],Table14[],Table16[],Table18[],Table110[]),2,0),0)</f>
        <v>0</v>
      </c>
      <c r="AH182" s="108">
        <f t="shared" si="9"/>
        <v>0</v>
      </c>
    </row>
    <row r="183" spans="19:34" ht="24" customHeight="1" x14ac:dyDescent="0.25">
      <c r="S183" s="93"/>
      <c r="T183" s="94"/>
      <c r="U183" s="94"/>
      <c r="V183" s="94"/>
      <c r="W183" s="95"/>
      <c r="AG183" s="74">
        <f>IFERROR(VLOOKUP(AD183,_xlfn.VSTACK(Table1[],Table14[],Table16[],Table18[],Table110[]),2,0),0)</f>
        <v>0</v>
      </c>
      <c r="AH183" s="108">
        <f t="shared" si="9"/>
        <v>0</v>
      </c>
    </row>
    <row r="184" spans="19:34" ht="24" customHeight="1" x14ac:dyDescent="0.25">
      <c r="S184" s="58"/>
      <c r="T184" s="66"/>
      <c r="U184" s="66"/>
      <c r="V184" s="66"/>
      <c r="W184" s="92"/>
      <c r="AG184" s="74">
        <f>IFERROR(VLOOKUP(AD184,_xlfn.VSTACK(Table1[],Table14[],Table16[],Table18[],Table110[]),2,0),0)</f>
        <v>0</v>
      </c>
      <c r="AH184" s="108">
        <f t="shared" si="9"/>
        <v>0</v>
      </c>
    </row>
    <row r="185" spans="19:34" ht="24" customHeight="1" x14ac:dyDescent="0.25">
      <c r="S185" s="93"/>
      <c r="T185" s="94"/>
      <c r="U185" s="94"/>
      <c r="V185" s="94"/>
      <c r="W185" s="95"/>
      <c r="AG185" s="74">
        <f>IFERROR(VLOOKUP(AD185,_xlfn.VSTACK(Table1[],Table14[],Table16[],Table18[],Table110[]),2,0),0)</f>
        <v>0</v>
      </c>
      <c r="AH185" s="108">
        <f t="shared" si="9"/>
        <v>0</v>
      </c>
    </row>
    <row r="186" spans="19:34" ht="24" customHeight="1" x14ac:dyDescent="0.25">
      <c r="S186" s="58"/>
      <c r="T186" s="66"/>
      <c r="U186" s="66"/>
      <c r="V186" s="66"/>
      <c r="W186" s="92"/>
      <c r="AG186" s="74">
        <f>IFERROR(VLOOKUP(AD186,_xlfn.VSTACK(Table1[],Table14[],Table16[],Table18[],Table110[]),2,0),0)</f>
        <v>0</v>
      </c>
      <c r="AH186" s="108">
        <f t="shared" si="9"/>
        <v>0</v>
      </c>
    </row>
    <row r="187" spans="19:34" ht="24" customHeight="1" x14ac:dyDescent="0.25">
      <c r="S187" s="93"/>
      <c r="T187" s="94"/>
      <c r="U187" s="94"/>
      <c r="V187" s="94"/>
      <c r="W187" s="95"/>
      <c r="AG187" s="74">
        <f>IFERROR(VLOOKUP(AD187,_xlfn.VSTACK(Table1[],Table14[],Table16[],Table18[],Table110[]),2,0),0)</f>
        <v>0</v>
      </c>
      <c r="AH187" s="108">
        <f t="shared" si="9"/>
        <v>0</v>
      </c>
    </row>
    <row r="188" spans="19:34" ht="24" customHeight="1" x14ac:dyDescent="0.25">
      <c r="S188" s="58"/>
      <c r="T188" s="66"/>
      <c r="U188" s="66"/>
      <c r="V188" s="66"/>
      <c r="W188" s="92"/>
      <c r="AG188" s="74">
        <f>IFERROR(VLOOKUP(AD188,_xlfn.VSTACK(Table1[],Table14[],Table16[],Table18[],Table110[]),2,0),0)</f>
        <v>0</v>
      </c>
      <c r="AH188" s="108">
        <f t="shared" si="9"/>
        <v>0</v>
      </c>
    </row>
    <row r="189" spans="19:34" ht="24" customHeight="1" x14ac:dyDescent="0.25">
      <c r="S189" s="93"/>
      <c r="T189" s="94"/>
      <c r="U189" s="94"/>
      <c r="V189" s="94"/>
      <c r="W189" s="95"/>
      <c r="AG189" s="74">
        <f>IFERROR(VLOOKUP(AD189,_xlfn.VSTACK(Table1[],Table14[],Table16[],Table18[],Table110[]),2,0),0)</f>
        <v>0</v>
      </c>
      <c r="AH189" s="108">
        <f t="shared" si="9"/>
        <v>0</v>
      </c>
    </row>
    <row r="190" spans="19:34" ht="24" customHeight="1" x14ac:dyDescent="0.25">
      <c r="S190" s="58"/>
      <c r="T190" s="66"/>
      <c r="U190" s="66"/>
      <c r="V190" s="66"/>
      <c r="W190" s="92"/>
      <c r="AG190" s="74">
        <f>IFERROR(VLOOKUP(AD190,_xlfn.VSTACK(Table1[],Table14[],Table16[],Table18[],Table110[]),2,0),0)</f>
        <v>0</v>
      </c>
      <c r="AH190" s="108">
        <f t="shared" si="9"/>
        <v>0</v>
      </c>
    </row>
    <row r="191" spans="19:34" ht="24" customHeight="1" x14ac:dyDescent="0.25">
      <c r="S191" s="93"/>
      <c r="T191" s="94"/>
      <c r="U191" s="94"/>
      <c r="V191" s="94"/>
      <c r="W191" s="95"/>
      <c r="AG191" s="74">
        <f>IFERROR(VLOOKUP(AD191,_xlfn.VSTACK(Table1[],Table14[],Table16[],Table18[],Table110[]),2,0),0)</f>
        <v>0</v>
      </c>
      <c r="AH191" s="108">
        <f t="shared" si="9"/>
        <v>0</v>
      </c>
    </row>
    <row r="192" spans="19:34" ht="24" customHeight="1" x14ac:dyDescent="0.25">
      <c r="S192" s="58"/>
      <c r="T192" s="66"/>
      <c r="U192" s="66"/>
      <c r="V192" s="66"/>
      <c r="W192" s="92"/>
      <c r="AG192" s="74">
        <f>IFERROR(VLOOKUP(AD192,_xlfn.VSTACK(Table1[],Table14[],Table16[],Table18[],Table110[]),2,0),0)</f>
        <v>0</v>
      </c>
      <c r="AH192" s="108">
        <f t="shared" si="9"/>
        <v>0</v>
      </c>
    </row>
    <row r="193" spans="19:34" ht="24" customHeight="1" x14ac:dyDescent="0.25">
      <c r="S193" s="93"/>
      <c r="T193" s="94"/>
      <c r="U193" s="94"/>
      <c r="V193" s="94"/>
      <c r="W193" s="95"/>
      <c r="AG193" s="74">
        <f>IFERROR(VLOOKUP(AD193,_xlfn.VSTACK(Table1[],Table14[],Table16[],Table18[],Table110[]),2,0),0)</f>
        <v>0</v>
      </c>
      <c r="AH193" s="108">
        <f t="shared" si="9"/>
        <v>0</v>
      </c>
    </row>
    <row r="194" spans="19:34" ht="24" customHeight="1" x14ac:dyDescent="0.25">
      <c r="S194" s="58"/>
      <c r="T194" s="66"/>
      <c r="U194" s="66"/>
      <c r="V194" s="66"/>
      <c r="W194" s="92"/>
      <c r="AG194" s="74">
        <f>IFERROR(VLOOKUP(AD194,_xlfn.VSTACK(Table1[],Table14[],Table16[],Table18[],Table110[]),2,0),0)</f>
        <v>0</v>
      </c>
      <c r="AH194" s="108">
        <f t="shared" si="9"/>
        <v>0</v>
      </c>
    </row>
    <row r="195" spans="19:34" ht="24" customHeight="1" x14ac:dyDescent="0.25">
      <c r="S195" s="93"/>
      <c r="T195" s="94"/>
      <c r="U195" s="94"/>
      <c r="V195" s="94"/>
      <c r="W195" s="95"/>
      <c r="AG195" s="74">
        <f>IFERROR(VLOOKUP(AD195,_xlfn.VSTACK(Table1[],Table14[],Table16[],Table18[],Table110[]),2,0),0)</f>
        <v>0</v>
      </c>
      <c r="AH195" s="108">
        <f t="shared" si="9"/>
        <v>0</v>
      </c>
    </row>
    <row r="196" spans="19:34" ht="24" customHeight="1" x14ac:dyDescent="0.25">
      <c r="S196" s="58"/>
      <c r="T196" s="66"/>
      <c r="U196" s="66"/>
      <c r="V196" s="66"/>
      <c r="W196" s="92"/>
      <c r="AG196" s="74">
        <f>IFERROR(VLOOKUP(AD196,_xlfn.VSTACK(Table1[],Table14[],Table16[],Table18[],Table110[]),2,0),0)</f>
        <v>0</v>
      </c>
      <c r="AH196" s="108">
        <f t="shared" ref="AH196:AH259" si="10">AG196-AF196</f>
        <v>0</v>
      </c>
    </row>
    <row r="197" spans="19:34" ht="24" customHeight="1" x14ac:dyDescent="0.25">
      <c r="S197" s="93"/>
      <c r="T197" s="94"/>
      <c r="U197" s="94"/>
      <c r="V197" s="94"/>
      <c r="W197" s="95"/>
      <c r="AG197" s="74">
        <f>IFERROR(VLOOKUP(AD197,_xlfn.VSTACK(Table1[],Table14[],Table16[],Table18[],Table110[]),2,0),0)</f>
        <v>0</v>
      </c>
      <c r="AH197" s="108">
        <f t="shared" si="10"/>
        <v>0</v>
      </c>
    </row>
    <row r="198" spans="19:34" ht="24" customHeight="1" x14ac:dyDescent="0.25">
      <c r="S198" s="58"/>
      <c r="T198" s="66"/>
      <c r="U198" s="66"/>
      <c r="V198" s="66"/>
      <c r="W198" s="92"/>
      <c r="AG198" s="74">
        <f>IFERROR(VLOOKUP(AD198,_xlfn.VSTACK(Table1[],Table14[],Table16[],Table18[],Table110[]),2,0),0)</f>
        <v>0</v>
      </c>
      <c r="AH198" s="108">
        <f t="shared" si="10"/>
        <v>0</v>
      </c>
    </row>
    <row r="199" spans="19:34" ht="24" customHeight="1" x14ac:dyDescent="0.25">
      <c r="S199" s="93"/>
      <c r="T199" s="94"/>
      <c r="U199" s="94"/>
      <c r="V199" s="94"/>
      <c r="W199" s="95"/>
      <c r="AG199" s="74">
        <f>IFERROR(VLOOKUP(AD199,_xlfn.VSTACK(Table1[],Table14[],Table16[],Table18[],Table110[]),2,0),0)</f>
        <v>0</v>
      </c>
      <c r="AH199" s="108">
        <f t="shared" si="10"/>
        <v>0</v>
      </c>
    </row>
    <row r="200" spans="19:34" ht="24" customHeight="1" x14ac:dyDescent="0.25">
      <c r="S200" s="58"/>
      <c r="T200" s="66"/>
      <c r="U200" s="66"/>
      <c r="V200" s="66"/>
      <c r="W200" s="92"/>
      <c r="AG200" s="74">
        <f>IFERROR(VLOOKUP(AD200,_xlfn.VSTACK(Table1[],Table14[],Table16[],Table18[],Table110[]),2,0),0)</f>
        <v>0</v>
      </c>
      <c r="AH200" s="108">
        <f t="shared" si="10"/>
        <v>0</v>
      </c>
    </row>
    <row r="201" spans="19:34" ht="24" customHeight="1" x14ac:dyDescent="0.25">
      <c r="S201" s="58"/>
      <c r="T201" s="66"/>
      <c r="U201" s="66"/>
      <c r="V201" s="66"/>
      <c r="AG201" s="74">
        <f>IFERROR(VLOOKUP(AD201,_xlfn.VSTACK(Table1[],Table14[],Table16[],Table18[],Table110[]),2,0),0)</f>
        <v>0</v>
      </c>
      <c r="AH201" s="108">
        <f t="shared" si="10"/>
        <v>0</v>
      </c>
    </row>
    <row r="202" spans="19:34" ht="24" customHeight="1" x14ac:dyDescent="0.25">
      <c r="S202" s="58"/>
      <c r="T202" s="66"/>
      <c r="U202" s="66"/>
      <c r="V202" s="66"/>
      <c r="AG202" s="74">
        <f>IFERROR(VLOOKUP(AD202,_xlfn.VSTACK(Table1[],Table14[],Table16[],Table18[],Table110[]),2,0),0)</f>
        <v>0</v>
      </c>
      <c r="AH202" s="108">
        <f t="shared" si="10"/>
        <v>0</v>
      </c>
    </row>
    <row r="203" spans="19:34" ht="24" customHeight="1" x14ac:dyDescent="0.25">
      <c r="S203" s="58"/>
      <c r="T203" s="66"/>
      <c r="U203" s="66"/>
      <c r="V203" s="66"/>
      <c r="AG203" s="74">
        <f>IFERROR(VLOOKUP(AD203,_xlfn.VSTACK(Table1[],Table14[],Table16[],Table18[],Table110[]),2,0),0)</f>
        <v>0</v>
      </c>
      <c r="AH203" s="108">
        <f t="shared" si="10"/>
        <v>0</v>
      </c>
    </row>
    <row r="204" spans="19:34" ht="24" customHeight="1" x14ac:dyDescent="0.25">
      <c r="S204" s="58"/>
      <c r="T204" s="66"/>
      <c r="U204" s="66"/>
      <c r="V204" s="66"/>
      <c r="AG204" s="74">
        <f>IFERROR(VLOOKUP(AD204,_xlfn.VSTACK(Table1[],Table14[],Table16[],Table18[],Table110[]),2,0),0)</f>
        <v>0</v>
      </c>
      <c r="AH204" s="108">
        <f t="shared" si="10"/>
        <v>0</v>
      </c>
    </row>
    <row r="205" spans="19:34" ht="24" customHeight="1" x14ac:dyDescent="0.25">
      <c r="S205" s="58"/>
      <c r="T205" s="66"/>
      <c r="U205" s="66"/>
      <c r="V205" s="66"/>
      <c r="AG205" s="74">
        <f>IFERROR(VLOOKUP(AD205,_xlfn.VSTACK(Table1[],Table14[],Table16[],Table18[],Table110[]),2,0),0)</f>
        <v>0</v>
      </c>
      <c r="AH205" s="108">
        <f t="shared" si="10"/>
        <v>0</v>
      </c>
    </row>
    <row r="206" spans="19:34" ht="24" customHeight="1" x14ac:dyDescent="0.25">
      <c r="S206" s="58"/>
      <c r="T206" s="66"/>
      <c r="U206" s="66"/>
      <c r="V206" s="66"/>
      <c r="AG206" s="74">
        <f>IFERROR(VLOOKUP(AD206,_xlfn.VSTACK(Table1[],Table14[],Table16[],Table18[],Table110[]),2,0),0)</f>
        <v>0</v>
      </c>
      <c r="AH206" s="108">
        <f t="shared" si="10"/>
        <v>0</v>
      </c>
    </row>
    <row r="207" spans="19:34" ht="24" customHeight="1" x14ac:dyDescent="0.25">
      <c r="S207" s="58"/>
      <c r="T207" s="66"/>
      <c r="U207" s="66"/>
      <c r="V207" s="66"/>
      <c r="AG207" s="74">
        <f>IFERROR(VLOOKUP(AD207,_xlfn.VSTACK(Table1[],Table14[],Table16[],Table18[],Table110[]),2,0),0)</f>
        <v>0</v>
      </c>
      <c r="AH207" s="108">
        <f t="shared" si="10"/>
        <v>0</v>
      </c>
    </row>
    <row r="208" spans="19:34" ht="24" customHeight="1" x14ac:dyDescent="0.25">
      <c r="S208" s="58"/>
      <c r="T208" s="66"/>
      <c r="U208" s="66"/>
      <c r="V208" s="66"/>
      <c r="AG208" s="74">
        <f>IFERROR(VLOOKUP(AD208,_xlfn.VSTACK(Table1[],Table14[],Table16[],Table18[],Table110[]),2,0),0)</f>
        <v>0</v>
      </c>
      <c r="AH208" s="108">
        <f t="shared" si="10"/>
        <v>0</v>
      </c>
    </row>
    <row r="209" spans="19:34" ht="24" customHeight="1" x14ac:dyDescent="0.25">
      <c r="S209" s="58"/>
      <c r="T209" s="66"/>
      <c r="U209" s="66"/>
      <c r="V209" s="66"/>
      <c r="AG209" s="74">
        <f>IFERROR(VLOOKUP(AD209,_xlfn.VSTACK(Table1[],Table14[],Table16[],Table18[],Table110[]),2,0),0)</f>
        <v>0</v>
      </c>
      <c r="AH209" s="108">
        <f t="shared" si="10"/>
        <v>0</v>
      </c>
    </row>
    <row r="210" spans="19:34" ht="24" customHeight="1" x14ac:dyDescent="0.25">
      <c r="S210" s="58"/>
      <c r="T210" s="66"/>
      <c r="U210" s="66"/>
      <c r="V210" s="66"/>
      <c r="AG210" s="74">
        <f>IFERROR(VLOOKUP(AD210,_xlfn.VSTACK(Table1[],Table14[],Table16[],Table18[],Table110[]),2,0),0)</f>
        <v>0</v>
      </c>
      <c r="AH210" s="108">
        <f t="shared" si="10"/>
        <v>0</v>
      </c>
    </row>
    <row r="211" spans="19:34" ht="24" customHeight="1" x14ac:dyDescent="0.25">
      <c r="S211" s="58"/>
      <c r="T211" s="66"/>
      <c r="U211" s="66"/>
      <c r="V211" s="66"/>
      <c r="AG211" s="74">
        <f>IFERROR(VLOOKUP(AD211,_xlfn.VSTACK(Table1[],Table14[],Table16[],Table18[],Table110[]),2,0),0)</f>
        <v>0</v>
      </c>
      <c r="AH211" s="108">
        <f t="shared" si="10"/>
        <v>0</v>
      </c>
    </row>
    <row r="212" spans="19:34" ht="24" customHeight="1" x14ac:dyDescent="0.25">
      <c r="S212" s="58"/>
      <c r="T212" s="66"/>
      <c r="U212" s="66"/>
      <c r="V212" s="66"/>
      <c r="AG212" s="74">
        <f>IFERROR(VLOOKUP(AD212,_xlfn.VSTACK(Table1[],Table14[],Table16[],Table18[],Table110[]),2,0),0)</f>
        <v>0</v>
      </c>
      <c r="AH212" s="108">
        <f t="shared" si="10"/>
        <v>0</v>
      </c>
    </row>
    <row r="213" spans="19:34" ht="24" customHeight="1" x14ac:dyDescent="0.25">
      <c r="S213" s="58"/>
      <c r="T213" s="66"/>
      <c r="U213" s="66"/>
      <c r="V213" s="66"/>
      <c r="AG213" s="74">
        <f>IFERROR(VLOOKUP(AD213,_xlfn.VSTACK(Table1[],Table14[],Table16[],Table18[],Table110[]),2,0),0)</f>
        <v>0</v>
      </c>
      <c r="AH213" s="108">
        <f t="shared" si="10"/>
        <v>0</v>
      </c>
    </row>
    <row r="214" spans="19:34" ht="24" customHeight="1" x14ac:dyDescent="0.25">
      <c r="S214" s="58"/>
      <c r="T214" s="66"/>
      <c r="U214" s="66"/>
      <c r="V214" s="66"/>
      <c r="AG214" s="74">
        <f>IFERROR(VLOOKUP(AD214,_xlfn.VSTACK(Table1[],Table14[],Table16[],Table18[],Table110[]),2,0),0)</f>
        <v>0</v>
      </c>
      <c r="AH214" s="108">
        <f t="shared" si="10"/>
        <v>0</v>
      </c>
    </row>
    <row r="215" spans="19:34" ht="24" customHeight="1" x14ac:dyDescent="0.25">
      <c r="S215" s="58"/>
      <c r="T215" s="66"/>
      <c r="U215" s="66"/>
      <c r="V215" s="66"/>
      <c r="AG215" s="74">
        <f>IFERROR(VLOOKUP(AD215,_xlfn.VSTACK(Table1[],Table14[],Table16[],Table18[],Table110[]),2,0),0)</f>
        <v>0</v>
      </c>
      <c r="AH215" s="108">
        <f t="shared" si="10"/>
        <v>0</v>
      </c>
    </row>
    <row r="216" spans="19:34" ht="24" customHeight="1" x14ac:dyDescent="0.25">
      <c r="S216" s="58"/>
      <c r="T216" s="66"/>
      <c r="U216" s="66"/>
      <c r="V216" s="66"/>
      <c r="AG216" s="74">
        <f>IFERROR(VLOOKUP(AD216,_xlfn.VSTACK(Table1[],Table14[],Table16[],Table18[],Table110[]),2,0),0)</f>
        <v>0</v>
      </c>
      <c r="AH216" s="108">
        <f t="shared" si="10"/>
        <v>0</v>
      </c>
    </row>
    <row r="217" spans="19:34" ht="24" customHeight="1" x14ac:dyDescent="0.25">
      <c r="S217" s="58"/>
      <c r="T217" s="66"/>
      <c r="U217" s="66"/>
      <c r="V217" s="66"/>
      <c r="AG217" s="74">
        <f>IFERROR(VLOOKUP(AD217,_xlfn.VSTACK(Table1[],Table14[],Table16[],Table18[],Table110[]),2,0),0)</f>
        <v>0</v>
      </c>
      <c r="AH217" s="108">
        <f t="shared" si="10"/>
        <v>0</v>
      </c>
    </row>
    <row r="218" spans="19:34" ht="24" customHeight="1" x14ac:dyDescent="0.25">
      <c r="S218" s="58"/>
      <c r="T218" s="66"/>
      <c r="U218" s="66"/>
      <c r="V218" s="66"/>
      <c r="AG218" s="74">
        <f>IFERROR(VLOOKUP(AD218,_xlfn.VSTACK(Table1[],Table14[],Table16[],Table18[],Table110[]),2,0),0)</f>
        <v>0</v>
      </c>
      <c r="AH218" s="108">
        <f t="shared" si="10"/>
        <v>0</v>
      </c>
    </row>
    <row r="219" spans="19:34" ht="24" customHeight="1" x14ac:dyDescent="0.25">
      <c r="S219" s="58"/>
      <c r="T219" s="66"/>
      <c r="U219" s="66"/>
      <c r="V219" s="66"/>
      <c r="AG219" s="74">
        <f>IFERROR(VLOOKUP(AD219,_xlfn.VSTACK(Table1[],Table14[],Table16[],Table18[],Table110[]),2,0),0)</f>
        <v>0</v>
      </c>
      <c r="AH219" s="108">
        <f t="shared" si="10"/>
        <v>0</v>
      </c>
    </row>
    <row r="220" spans="19:34" ht="24" customHeight="1" x14ac:dyDescent="0.25">
      <c r="S220" s="58"/>
      <c r="T220" s="66"/>
      <c r="U220" s="66"/>
      <c r="V220" s="66"/>
      <c r="AG220" s="74">
        <f>IFERROR(VLOOKUP(AD220,_xlfn.VSTACK(Table1[],Table14[],Table16[],Table18[],Table110[]),2,0),0)</f>
        <v>0</v>
      </c>
      <c r="AH220" s="108">
        <f t="shared" si="10"/>
        <v>0</v>
      </c>
    </row>
    <row r="221" spans="19:34" ht="24" customHeight="1" x14ac:dyDescent="0.25">
      <c r="S221" s="58"/>
      <c r="T221" s="66"/>
      <c r="U221" s="66"/>
      <c r="V221" s="66"/>
      <c r="AG221" s="74">
        <f>IFERROR(VLOOKUP(AD221,_xlfn.VSTACK(Table1[],Table14[],Table16[],Table18[],Table110[]),2,0),0)</f>
        <v>0</v>
      </c>
      <c r="AH221" s="108">
        <f t="shared" si="10"/>
        <v>0</v>
      </c>
    </row>
    <row r="222" spans="19:34" ht="24" customHeight="1" x14ac:dyDescent="0.25">
      <c r="S222" s="58"/>
      <c r="T222" s="66"/>
      <c r="U222" s="66"/>
      <c r="V222" s="66"/>
      <c r="AG222" s="74">
        <f>IFERROR(VLOOKUP(AD222,_xlfn.VSTACK(Table1[],Table14[],Table16[],Table18[],Table110[]),2,0),0)</f>
        <v>0</v>
      </c>
      <c r="AH222" s="108">
        <f t="shared" si="10"/>
        <v>0</v>
      </c>
    </row>
    <row r="223" spans="19:34" ht="24" customHeight="1" x14ac:dyDescent="0.25">
      <c r="S223" s="58"/>
      <c r="T223" s="66"/>
      <c r="U223" s="66"/>
      <c r="V223" s="66"/>
      <c r="AG223" s="74">
        <f>IFERROR(VLOOKUP(AD223,_xlfn.VSTACK(Table1[],Table14[],Table16[],Table18[],Table110[]),2,0),0)</f>
        <v>0</v>
      </c>
      <c r="AH223" s="108">
        <f t="shared" si="10"/>
        <v>0</v>
      </c>
    </row>
    <row r="224" spans="19:34" ht="24" customHeight="1" x14ac:dyDescent="0.25">
      <c r="S224" s="58"/>
      <c r="T224" s="66"/>
      <c r="U224" s="66"/>
      <c r="V224" s="66"/>
      <c r="AG224" s="74">
        <f>IFERROR(VLOOKUP(AD224,_xlfn.VSTACK(Table1[],Table14[],Table16[],Table18[],Table110[]),2,0),0)</f>
        <v>0</v>
      </c>
      <c r="AH224" s="108">
        <f t="shared" si="10"/>
        <v>0</v>
      </c>
    </row>
    <row r="225" spans="19:34" ht="24" customHeight="1" x14ac:dyDescent="0.25">
      <c r="S225" s="58"/>
      <c r="T225" s="66"/>
      <c r="U225" s="66"/>
      <c r="V225" s="66"/>
      <c r="AG225" s="74">
        <f>IFERROR(VLOOKUP(AD225,_xlfn.VSTACK(Table1[],Table14[],Table16[],Table18[],Table110[]),2,0),0)</f>
        <v>0</v>
      </c>
      <c r="AH225" s="108">
        <f t="shared" si="10"/>
        <v>0</v>
      </c>
    </row>
    <row r="226" spans="19:34" ht="24" customHeight="1" x14ac:dyDescent="0.25">
      <c r="S226" s="58"/>
      <c r="T226" s="66"/>
      <c r="U226" s="66"/>
      <c r="V226" s="66"/>
      <c r="AG226" s="74">
        <f>IFERROR(VLOOKUP(AD226,_xlfn.VSTACK(Table1[],Table14[],Table16[],Table18[],Table110[]),2,0),0)</f>
        <v>0</v>
      </c>
      <c r="AH226" s="108">
        <f t="shared" si="10"/>
        <v>0</v>
      </c>
    </row>
    <row r="227" spans="19:34" ht="24" customHeight="1" x14ac:dyDescent="0.25">
      <c r="S227" s="58"/>
      <c r="T227" s="66"/>
      <c r="U227" s="66"/>
      <c r="V227" s="66"/>
      <c r="AG227" s="74">
        <f>IFERROR(VLOOKUP(AD227,_xlfn.VSTACK(Table1[],Table14[],Table16[],Table18[],Table110[]),2,0),0)</f>
        <v>0</v>
      </c>
      <c r="AH227" s="108">
        <f t="shared" si="10"/>
        <v>0</v>
      </c>
    </row>
    <row r="228" spans="19:34" ht="24" customHeight="1" x14ac:dyDescent="0.25">
      <c r="S228" s="58"/>
      <c r="T228" s="66"/>
      <c r="U228" s="66"/>
      <c r="V228" s="66"/>
      <c r="AG228" s="74">
        <f>IFERROR(VLOOKUP(AD228,_xlfn.VSTACK(Table1[],Table14[],Table16[],Table18[],Table110[]),2,0),0)</f>
        <v>0</v>
      </c>
      <c r="AH228" s="108">
        <f t="shared" si="10"/>
        <v>0</v>
      </c>
    </row>
    <row r="229" spans="19:34" ht="24" customHeight="1" x14ac:dyDescent="0.25">
      <c r="S229" s="58"/>
      <c r="T229" s="66"/>
      <c r="U229" s="66"/>
      <c r="V229" s="66"/>
      <c r="AG229" s="74">
        <f>IFERROR(VLOOKUP(AD229,_xlfn.VSTACK(Table1[],Table14[],Table16[],Table18[],Table110[]),2,0),0)</f>
        <v>0</v>
      </c>
      <c r="AH229" s="108">
        <f t="shared" si="10"/>
        <v>0</v>
      </c>
    </row>
    <row r="230" spans="19:34" ht="24" customHeight="1" x14ac:dyDescent="0.25">
      <c r="S230" s="58"/>
      <c r="T230" s="66"/>
      <c r="U230" s="66"/>
      <c r="V230" s="66"/>
      <c r="AG230" s="74">
        <f>IFERROR(VLOOKUP(AD230,_xlfn.VSTACK(Table1[],Table14[],Table16[],Table18[],Table110[]),2,0),0)</f>
        <v>0</v>
      </c>
      <c r="AH230" s="108">
        <f t="shared" si="10"/>
        <v>0</v>
      </c>
    </row>
    <row r="231" spans="19:34" ht="24" customHeight="1" x14ac:dyDescent="0.25">
      <c r="S231" s="58"/>
      <c r="T231" s="66"/>
      <c r="U231" s="66"/>
      <c r="V231" s="66"/>
      <c r="AG231" s="74">
        <f>IFERROR(VLOOKUP(AD231,_xlfn.VSTACK(Table1[],Table14[],Table16[],Table18[],Table110[]),2,0),0)</f>
        <v>0</v>
      </c>
      <c r="AH231" s="108">
        <f t="shared" si="10"/>
        <v>0</v>
      </c>
    </row>
    <row r="232" spans="19:34" ht="24" customHeight="1" x14ac:dyDescent="0.25">
      <c r="S232" s="58"/>
      <c r="T232" s="66"/>
      <c r="U232" s="66"/>
      <c r="V232" s="66"/>
      <c r="AG232" s="74">
        <f>IFERROR(VLOOKUP(AD232,_xlfn.VSTACK(Table1[],Table14[],Table16[],Table18[],Table110[]),2,0),0)</f>
        <v>0</v>
      </c>
      <c r="AH232" s="108">
        <f t="shared" si="10"/>
        <v>0</v>
      </c>
    </row>
    <row r="233" spans="19:34" ht="24" customHeight="1" x14ac:dyDescent="0.25">
      <c r="S233" s="58"/>
      <c r="T233" s="66"/>
      <c r="U233" s="66"/>
      <c r="V233" s="66"/>
      <c r="AG233" s="74">
        <f>IFERROR(VLOOKUP(AD233,_xlfn.VSTACK(Table1[],Table14[],Table16[],Table18[],Table110[]),2,0),0)</f>
        <v>0</v>
      </c>
      <c r="AH233" s="108">
        <f t="shared" si="10"/>
        <v>0</v>
      </c>
    </row>
    <row r="234" spans="19:34" ht="24" customHeight="1" x14ac:dyDescent="0.25">
      <c r="S234" s="58"/>
      <c r="T234" s="66"/>
      <c r="U234" s="66"/>
      <c r="V234" s="66"/>
      <c r="AG234" s="74">
        <f>IFERROR(VLOOKUP(AD234,_xlfn.VSTACK(Table1[],Table14[],Table16[],Table18[],Table110[]),2,0),0)</f>
        <v>0</v>
      </c>
      <c r="AH234" s="108">
        <f t="shared" si="10"/>
        <v>0</v>
      </c>
    </row>
    <row r="235" spans="19:34" ht="24" customHeight="1" x14ac:dyDescent="0.25">
      <c r="S235" s="58"/>
      <c r="T235" s="66"/>
      <c r="U235" s="66"/>
      <c r="V235" s="66"/>
      <c r="AG235" s="74">
        <f>IFERROR(VLOOKUP(AD235,_xlfn.VSTACK(Table1[],Table14[],Table16[],Table18[],Table110[]),2,0),0)</f>
        <v>0</v>
      </c>
      <c r="AH235" s="108">
        <f t="shared" si="10"/>
        <v>0</v>
      </c>
    </row>
    <row r="236" spans="19:34" ht="24" customHeight="1" x14ac:dyDescent="0.25">
      <c r="S236" s="58"/>
      <c r="T236" s="66"/>
      <c r="U236" s="66"/>
      <c r="V236" s="66"/>
      <c r="AG236" s="74">
        <f>IFERROR(VLOOKUP(AD236,_xlfn.VSTACK(Table1[],Table14[],Table16[],Table18[],Table110[]),2,0),0)</f>
        <v>0</v>
      </c>
      <c r="AH236" s="108">
        <f t="shared" si="10"/>
        <v>0</v>
      </c>
    </row>
    <row r="237" spans="19:34" ht="24" customHeight="1" x14ac:dyDescent="0.25">
      <c r="S237" s="58"/>
      <c r="T237" s="66"/>
      <c r="U237" s="66"/>
      <c r="V237" s="66"/>
      <c r="AG237" s="74">
        <f>IFERROR(VLOOKUP(AD237,_xlfn.VSTACK(Table1[],Table14[],Table16[],Table18[],Table110[]),2,0),0)</f>
        <v>0</v>
      </c>
      <c r="AH237" s="108">
        <f t="shared" si="10"/>
        <v>0</v>
      </c>
    </row>
    <row r="238" spans="19:34" ht="24" customHeight="1" x14ac:dyDescent="0.25">
      <c r="S238" s="58"/>
      <c r="T238" s="66"/>
      <c r="U238" s="66"/>
      <c r="V238" s="66"/>
      <c r="AG238" s="74">
        <f>IFERROR(VLOOKUP(AD238,_xlfn.VSTACK(Table1[],Table14[],Table16[],Table18[],Table110[]),2,0),0)</f>
        <v>0</v>
      </c>
      <c r="AH238" s="108">
        <f t="shared" si="10"/>
        <v>0</v>
      </c>
    </row>
    <row r="239" spans="19:34" ht="24" customHeight="1" x14ac:dyDescent="0.25">
      <c r="S239" s="58"/>
      <c r="T239" s="66"/>
      <c r="U239" s="66"/>
      <c r="V239" s="66"/>
      <c r="AG239" s="74">
        <f>IFERROR(VLOOKUP(AD239,_xlfn.VSTACK(Table1[],Table14[],Table16[],Table18[],Table110[]),2,0),0)</f>
        <v>0</v>
      </c>
      <c r="AH239" s="108">
        <f t="shared" si="10"/>
        <v>0</v>
      </c>
    </row>
    <row r="240" spans="19:34" ht="24" customHeight="1" x14ac:dyDescent="0.25">
      <c r="S240" s="58"/>
      <c r="T240" s="66"/>
      <c r="U240" s="66"/>
      <c r="V240" s="66"/>
      <c r="AG240" s="74">
        <f>IFERROR(VLOOKUP(AD240,_xlfn.VSTACK(Table1[],Table14[],Table16[],Table18[],Table110[]),2,0),0)</f>
        <v>0</v>
      </c>
      <c r="AH240" s="108">
        <f t="shared" si="10"/>
        <v>0</v>
      </c>
    </row>
    <row r="241" spans="19:34" ht="24" customHeight="1" x14ac:dyDescent="0.25">
      <c r="S241" s="58"/>
      <c r="T241" s="66"/>
      <c r="U241" s="66"/>
      <c r="V241" s="66"/>
      <c r="AG241" s="74">
        <f>IFERROR(VLOOKUP(AD241,_xlfn.VSTACK(Table1[],Table14[],Table16[],Table18[],Table110[]),2,0),0)</f>
        <v>0</v>
      </c>
      <c r="AH241" s="108">
        <f t="shared" si="10"/>
        <v>0</v>
      </c>
    </row>
    <row r="242" spans="19:34" ht="24" customHeight="1" x14ac:dyDescent="0.25">
      <c r="S242" s="58"/>
      <c r="T242" s="66"/>
      <c r="U242" s="66"/>
      <c r="V242" s="66"/>
      <c r="AG242" s="74">
        <f>IFERROR(VLOOKUP(AD242,_xlfn.VSTACK(Table1[],Table14[],Table16[],Table18[],Table110[]),2,0),0)</f>
        <v>0</v>
      </c>
      <c r="AH242" s="108">
        <f t="shared" si="10"/>
        <v>0</v>
      </c>
    </row>
    <row r="243" spans="19:34" ht="24" customHeight="1" x14ac:dyDescent="0.25">
      <c r="S243" s="58"/>
      <c r="T243" s="66"/>
      <c r="U243" s="66"/>
      <c r="V243" s="66"/>
      <c r="AG243" s="74">
        <f>IFERROR(VLOOKUP(AD243,_xlfn.VSTACK(Table1[],Table14[],Table16[],Table18[],Table110[]),2,0),0)</f>
        <v>0</v>
      </c>
      <c r="AH243" s="108">
        <f t="shared" si="10"/>
        <v>0</v>
      </c>
    </row>
    <row r="244" spans="19:34" ht="24" customHeight="1" x14ac:dyDescent="0.25">
      <c r="S244" s="58"/>
      <c r="T244" s="66"/>
      <c r="U244" s="66"/>
      <c r="V244" s="66"/>
      <c r="AG244" s="74">
        <f>IFERROR(VLOOKUP(AD244,_xlfn.VSTACK(Table1[],Table14[],Table16[],Table18[],Table110[]),2,0),0)</f>
        <v>0</v>
      </c>
      <c r="AH244" s="108">
        <f t="shared" si="10"/>
        <v>0</v>
      </c>
    </row>
    <row r="245" spans="19:34" ht="24" customHeight="1" x14ac:dyDescent="0.25">
      <c r="S245" s="58"/>
      <c r="T245" s="66"/>
      <c r="U245" s="66"/>
      <c r="V245" s="66"/>
      <c r="AG245" s="74">
        <f>IFERROR(VLOOKUP(AD245,_xlfn.VSTACK(Table1[],Table14[],Table16[],Table18[],Table110[]),2,0),0)</f>
        <v>0</v>
      </c>
      <c r="AH245" s="108">
        <f t="shared" si="10"/>
        <v>0</v>
      </c>
    </row>
    <row r="246" spans="19:34" ht="24" customHeight="1" x14ac:dyDescent="0.25">
      <c r="S246" s="58"/>
      <c r="T246" s="66"/>
      <c r="U246" s="66"/>
      <c r="V246" s="66"/>
      <c r="AG246" s="74">
        <f>IFERROR(VLOOKUP(AD246,_xlfn.VSTACK(Table1[],Table14[],Table16[],Table18[],Table110[]),2,0),0)</f>
        <v>0</v>
      </c>
      <c r="AH246" s="108">
        <f t="shared" si="10"/>
        <v>0</v>
      </c>
    </row>
    <row r="247" spans="19:34" ht="24" customHeight="1" x14ac:dyDescent="0.25">
      <c r="S247" s="58"/>
      <c r="T247" s="66"/>
      <c r="U247" s="66"/>
      <c r="V247" s="66"/>
      <c r="AG247" s="74">
        <f>IFERROR(VLOOKUP(AD247,_xlfn.VSTACK(Table1[],Table14[],Table16[],Table18[],Table110[]),2,0),0)</f>
        <v>0</v>
      </c>
      <c r="AH247" s="108">
        <f t="shared" si="10"/>
        <v>0</v>
      </c>
    </row>
    <row r="248" spans="19:34" ht="24" customHeight="1" x14ac:dyDescent="0.25">
      <c r="S248" s="58"/>
      <c r="T248" s="66"/>
      <c r="U248" s="66"/>
      <c r="V248" s="66"/>
      <c r="AG248" s="74">
        <f>IFERROR(VLOOKUP(AD248,_xlfn.VSTACK(Table1[],Table14[],Table16[],Table18[],Table110[]),2,0),0)</f>
        <v>0</v>
      </c>
      <c r="AH248" s="108">
        <f t="shared" si="10"/>
        <v>0</v>
      </c>
    </row>
    <row r="249" spans="19:34" ht="24" customHeight="1" x14ac:dyDescent="0.25">
      <c r="S249" s="58"/>
      <c r="T249" s="66"/>
      <c r="U249" s="66"/>
      <c r="V249" s="66"/>
      <c r="AG249" s="74">
        <f>IFERROR(VLOOKUP(AD249,_xlfn.VSTACK(Table1[],Table14[],Table16[],Table18[],Table110[]),2,0),0)</f>
        <v>0</v>
      </c>
      <c r="AH249" s="108">
        <f t="shared" si="10"/>
        <v>0</v>
      </c>
    </row>
    <row r="250" spans="19:34" ht="24" customHeight="1" x14ac:dyDescent="0.25">
      <c r="S250" s="58"/>
      <c r="T250" s="66"/>
      <c r="U250" s="66"/>
      <c r="V250" s="66"/>
      <c r="AG250" s="74">
        <f>IFERROR(VLOOKUP(AD250,_xlfn.VSTACK(Table1[],Table14[],Table16[],Table18[],Table110[]),2,0),0)</f>
        <v>0</v>
      </c>
      <c r="AH250" s="108">
        <f t="shared" si="10"/>
        <v>0</v>
      </c>
    </row>
    <row r="251" spans="19:34" ht="24" customHeight="1" x14ac:dyDescent="0.25">
      <c r="S251" s="58"/>
      <c r="T251" s="66"/>
      <c r="U251" s="66"/>
      <c r="V251" s="66"/>
      <c r="AG251" s="74">
        <f>IFERROR(VLOOKUP(AD251,_xlfn.VSTACK(Table1[],Table14[],Table16[],Table18[],Table110[]),2,0),0)</f>
        <v>0</v>
      </c>
      <c r="AH251" s="108">
        <f t="shared" si="10"/>
        <v>0</v>
      </c>
    </row>
    <row r="252" spans="19:34" ht="24" customHeight="1" x14ac:dyDescent="0.25">
      <c r="S252" s="58"/>
      <c r="T252" s="66"/>
      <c r="U252" s="66"/>
      <c r="V252" s="66"/>
      <c r="AG252" s="74">
        <f>IFERROR(VLOOKUP(AD252,_xlfn.VSTACK(Table1[],Table14[],Table16[],Table18[],Table110[]),2,0),0)</f>
        <v>0</v>
      </c>
      <c r="AH252" s="108">
        <f t="shared" si="10"/>
        <v>0</v>
      </c>
    </row>
    <row r="253" spans="19:34" ht="24" customHeight="1" x14ac:dyDescent="0.25">
      <c r="S253" s="58"/>
      <c r="T253" s="66"/>
      <c r="U253" s="66"/>
      <c r="V253" s="66"/>
      <c r="AG253" s="74">
        <f>IFERROR(VLOOKUP(AD253,_xlfn.VSTACK(Table1[],Table14[],Table16[],Table18[],Table110[]),2,0),0)</f>
        <v>0</v>
      </c>
      <c r="AH253" s="108">
        <f t="shared" si="10"/>
        <v>0</v>
      </c>
    </row>
    <row r="254" spans="19:34" ht="24" customHeight="1" x14ac:dyDescent="0.25">
      <c r="S254" s="58"/>
      <c r="T254" s="66"/>
      <c r="U254" s="66"/>
      <c r="V254" s="66"/>
      <c r="AG254" s="74">
        <f>IFERROR(VLOOKUP(AD254,_xlfn.VSTACK(Table1[],Table14[],Table16[],Table18[],Table110[]),2,0),0)</f>
        <v>0</v>
      </c>
      <c r="AH254" s="108">
        <f t="shared" si="10"/>
        <v>0</v>
      </c>
    </row>
    <row r="255" spans="19:34" ht="24" customHeight="1" x14ac:dyDescent="0.25">
      <c r="S255" s="58"/>
      <c r="T255" s="66"/>
      <c r="U255" s="66"/>
      <c r="V255" s="66"/>
      <c r="AG255" s="74">
        <f>IFERROR(VLOOKUP(AD255,_xlfn.VSTACK(Table1[],Table14[],Table16[],Table18[],Table110[]),2,0),0)</f>
        <v>0</v>
      </c>
      <c r="AH255" s="108">
        <f t="shared" si="10"/>
        <v>0</v>
      </c>
    </row>
    <row r="256" spans="19:34" ht="24" customHeight="1" x14ac:dyDescent="0.25">
      <c r="S256" s="58"/>
      <c r="T256" s="66"/>
      <c r="U256" s="66"/>
      <c r="V256" s="66"/>
      <c r="AG256" s="74">
        <f>IFERROR(VLOOKUP(AD256,_xlfn.VSTACK(Table1[],Table14[],Table16[],Table18[],Table110[]),2,0),0)</f>
        <v>0</v>
      </c>
      <c r="AH256" s="108">
        <f t="shared" si="10"/>
        <v>0</v>
      </c>
    </row>
    <row r="257" spans="19:34" ht="24" customHeight="1" x14ac:dyDescent="0.25">
      <c r="S257" s="58"/>
      <c r="T257" s="66"/>
      <c r="U257" s="66"/>
      <c r="V257" s="66"/>
      <c r="AG257" s="74">
        <f>IFERROR(VLOOKUP(AD257,_xlfn.VSTACK(Table1[],Table14[],Table16[],Table18[],Table110[]),2,0),0)</f>
        <v>0</v>
      </c>
      <c r="AH257" s="108">
        <f t="shared" si="10"/>
        <v>0</v>
      </c>
    </row>
    <row r="258" spans="19:34" ht="24" customHeight="1" x14ac:dyDescent="0.25">
      <c r="S258" s="58"/>
      <c r="T258" s="66"/>
      <c r="U258" s="66"/>
      <c r="V258" s="66"/>
      <c r="AG258" s="74">
        <f>IFERROR(VLOOKUP(AD258,_xlfn.VSTACK(Table1[],Table14[],Table16[],Table18[],Table110[]),2,0),0)</f>
        <v>0</v>
      </c>
      <c r="AH258" s="108">
        <f t="shared" si="10"/>
        <v>0</v>
      </c>
    </row>
    <row r="259" spans="19:34" ht="24" customHeight="1" x14ac:dyDescent="0.25">
      <c r="S259" s="58"/>
      <c r="T259" s="66"/>
      <c r="U259" s="66"/>
      <c r="V259" s="66"/>
      <c r="AG259" s="74">
        <f>IFERROR(VLOOKUP(AD259,_xlfn.VSTACK(Table1[],Table14[],Table16[],Table18[],Table110[]),2,0),0)</f>
        <v>0</v>
      </c>
      <c r="AH259" s="108">
        <f t="shared" si="10"/>
        <v>0</v>
      </c>
    </row>
    <row r="260" spans="19:34" ht="24" customHeight="1" x14ac:dyDescent="0.25">
      <c r="S260" s="58"/>
      <c r="T260" s="66"/>
      <c r="U260" s="66"/>
      <c r="V260" s="66"/>
      <c r="AG260" s="74">
        <f>IFERROR(VLOOKUP(AD260,_xlfn.VSTACK(Table1[],Table14[],Table16[],Table18[],Table110[]),2,0),0)</f>
        <v>0</v>
      </c>
      <c r="AH260" s="108">
        <f t="shared" ref="AH260:AH300" si="11">AG260-AF260</f>
        <v>0</v>
      </c>
    </row>
    <row r="261" spans="19:34" ht="24" customHeight="1" x14ac:dyDescent="0.25">
      <c r="S261" s="58"/>
      <c r="T261" s="66"/>
      <c r="U261" s="66"/>
      <c r="V261" s="66"/>
      <c r="AG261" s="74">
        <f>IFERROR(VLOOKUP(AD261,_xlfn.VSTACK(Table1[],Table14[],Table16[],Table18[],Table110[]),2,0),0)</f>
        <v>0</v>
      </c>
      <c r="AH261" s="108">
        <f t="shared" si="11"/>
        <v>0</v>
      </c>
    </row>
    <row r="262" spans="19:34" ht="24" customHeight="1" x14ac:dyDescent="0.25">
      <c r="S262" s="58"/>
      <c r="T262" s="66"/>
      <c r="U262" s="66"/>
      <c r="V262" s="66"/>
      <c r="AG262" s="74">
        <f>IFERROR(VLOOKUP(AD262,_xlfn.VSTACK(Table1[],Table14[],Table16[],Table18[],Table110[]),2,0),0)</f>
        <v>0</v>
      </c>
      <c r="AH262" s="108">
        <f t="shared" si="11"/>
        <v>0</v>
      </c>
    </row>
    <row r="263" spans="19:34" ht="24" customHeight="1" x14ac:dyDescent="0.25">
      <c r="S263" s="58"/>
      <c r="T263" s="66"/>
      <c r="U263" s="66"/>
      <c r="V263" s="66"/>
      <c r="AG263" s="74">
        <f>IFERROR(VLOOKUP(AD263,_xlfn.VSTACK(Table1[],Table14[],Table16[],Table18[],Table110[]),2,0),0)</f>
        <v>0</v>
      </c>
      <c r="AH263" s="108">
        <f t="shared" si="11"/>
        <v>0</v>
      </c>
    </row>
    <row r="264" spans="19:34" ht="24" customHeight="1" x14ac:dyDescent="0.25">
      <c r="S264" s="58"/>
      <c r="T264" s="66"/>
      <c r="U264" s="66"/>
      <c r="V264" s="66"/>
      <c r="AG264" s="74">
        <f>IFERROR(VLOOKUP(AD264,_xlfn.VSTACK(Table1[],Table14[],Table16[],Table18[],Table110[]),2,0),0)</f>
        <v>0</v>
      </c>
      <c r="AH264" s="108">
        <f t="shared" si="11"/>
        <v>0</v>
      </c>
    </row>
    <row r="265" spans="19:34" ht="24" customHeight="1" x14ac:dyDescent="0.25">
      <c r="S265" s="58"/>
      <c r="T265" s="66"/>
      <c r="U265" s="66"/>
      <c r="V265" s="66"/>
      <c r="AG265" s="74">
        <f>IFERROR(VLOOKUP(AD265,_xlfn.VSTACK(Table1[],Table14[],Table16[],Table18[],Table110[]),2,0),0)</f>
        <v>0</v>
      </c>
      <c r="AH265" s="108">
        <f t="shared" si="11"/>
        <v>0</v>
      </c>
    </row>
    <row r="266" spans="19:34" ht="24" customHeight="1" x14ac:dyDescent="0.25">
      <c r="S266" s="58"/>
      <c r="T266" s="66"/>
      <c r="U266" s="66"/>
      <c r="V266" s="66"/>
      <c r="AG266" s="74">
        <f>IFERROR(VLOOKUP(AD266,_xlfn.VSTACK(Table1[],Table14[],Table16[],Table18[],Table110[]),2,0),0)</f>
        <v>0</v>
      </c>
      <c r="AH266" s="108">
        <f t="shared" si="11"/>
        <v>0</v>
      </c>
    </row>
    <row r="267" spans="19:34" ht="24" customHeight="1" x14ac:dyDescent="0.25">
      <c r="S267" s="58"/>
      <c r="T267" s="66"/>
      <c r="U267" s="66"/>
      <c r="V267" s="66"/>
      <c r="AG267" s="74">
        <f>IFERROR(VLOOKUP(AD267,_xlfn.VSTACK(Table1[],Table14[],Table16[],Table18[],Table110[]),2,0),0)</f>
        <v>0</v>
      </c>
      <c r="AH267" s="108">
        <f t="shared" si="11"/>
        <v>0</v>
      </c>
    </row>
    <row r="268" spans="19:34" ht="24" customHeight="1" x14ac:dyDescent="0.25">
      <c r="S268" s="58"/>
      <c r="T268" s="66"/>
      <c r="U268" s="66"/>
      <c r="V268" s="66"/>
      <c r="AG268" s="74">
        <f>IFERROR(VLOOKUP(AD268,_xlfn.VSTACK(Table1[],Table14[],Table16[],Table18[],Table110[]),2,0),0)</f>
        <v>0</v>
      </c>
      <c r="AH268" s="108">
        <f t="shared" si="11"/>
        <v>0</v>
      </c>
    </row>
    <row r="269" spans="19:34" ht="24" customHeight="1" x14ac:dyDescent="0.25">
      <c r="S269" s="58"/>
      <c r="T269" s="66"/>
      <c r="U269" s="66"/>
      <c r="V269" s="66"/>
      <c r="AG269" s="74">
        <f>IFERROR(VLOOKUP(AD269,_xlfn.VSTACK(Table1[],Table14[],Table16[],Table18[],Table110[]),2,0),0)</f>
        <v>0</v>
      </c>
      <c r="AH269" s="108">
        <f t="shared" si="11"/>
        <v>0</v>
      </c>
    </row>
    <row r="270" spans="19:34" ht="24" customHeight="1" x14ac:dyDescent="0.25">
      <c r="S270" s="58"/>
      <c r="T270" s="66"/>
      <c r="U270" s="66"/>
      <c r="V270" s="66"/>
      <c r="AG270" s="74">
        <f>IFERROR(VLOOKUP(AD270,_xlfn.VSTACK(Table1[],Table14[],Table16[],Table18[],Table110[]),2,0),0)</f>
        <v>0</v>
      </c>
      <c r="AH270" s="108">
        <f t="shared" si="11"/>
        <v>0</v>
      </c>
    </row>
    <row r="271" spans="19:34" ht="24" customHeight="1" x14ac:dyDescent="0.25">
      <c r="S271" s="58"/>
      <c r="T271" s="66"/>
      <c r="U271" s="66"/>
      <c r="V271" s="66"/>
      <c r="AG271" s="74">
        <f>IFERROR(VLOOKUP(AD271,_xlfn.VSTACK(Table1[],Table14[],Table16[],Table18[],Table110[]),2,0),0)</f>
        <v>0</v>
      </c>
      <c r="AH271" s="108">
        <f t="shared" si="11"/>
        <v>0</v>
      </c>
    </row>
    <row r="272" spans="19:34" ht="24" customHeight="1" x14ac:dyDescent="0.25">
      <c r="S272" s="58"/>
      <c r="T272" s="66"/>
      <c r="U272" s="66"/>
      <c r="V272" s="66"/>
      <c r="AG272" s="74">
        <f>IFERROR(VLOOKUP(AD272,_xlfn.VSTACK(Table1[],Table14[],Table16[],Table18[],Table110[]),2,0),0)</f>
        <v>0</v>
      </c>
      <c r="AH272" s="108">
        <f t="shared" si="11"/>
        <v>0</v>
      </c>
    </row>
    <row r="273" spans="19:34" ht="24" customHeight="1" x14ac:dyDescent="0.25">
      <c r="S273" s="58"/>
      <c r="T273" s="66"/>
      <c r="U273" s="66"/>
      <c r="V273" s="66"/>
      <c r="AG273" s="74">
        <f>IFERROR(VLOOKUP(AD273,_xlfn.VSTACK(Table1[],Table14[],Table16[],Table18[],Table110[]),2,0),0)</f>
        <v>0</v>
      </c>
      <c r="AH273" s="108">
        <f t="shared" si="11"/>
        <v>0</v>
      </c>
    </row>
    <row r="274" spans="19:34" ht="24" customHeight="1" x14ac:dyDescent="0.25">
      <c r="S274" s="58"/>
      <c r="T274" s="66"/>
      <c r="U274" s="66"/>
      <c r="V274" s="66"/>
      <c r="AG274" s="74">
        <f>IFERROR(VLOOKUP(AD274,_xlfn.VSTACK(Table1[],Table14[],Table16[],Table18[],Table110[]),2,0),0)</f>
        <v>0</v>
      </c>
      <c r="AH274" s="108">
        <f t="shared" si="11"/>
        <v>0</v>
      </c>
    </row>
    <row r="275" spans="19:34" ht="24" customHeight="1" x14ac:dyDescent="0.25">
      <c r="S275" s="58"/>
      <c r="T275" s="66"/>
      <c r="U275" s="66"/>
      <c r="V275" s="66"/>
      <c r="AG275" s="74">
        <f>IFERROR(VLOOKUP(AD275,_xlfn.VSTACK(Table1[],Table14[],Table16[],Table18[],Table110[]),2,0),0)</f>
        <v>0</v>
      </c>
      <c r="AH275" s="108">
        <f t="shared" si="11"/>
        <v>0</v>
      </c>
    </row>
    <row r="276" spans="19:34" ht="24" customHeight="1" x14ac:dyDescent="0.25">
      <c r="S276" s="58"/>
      <c r="T276" s="66"/>
      <c r="U276" s="66"/>
      <c r="V276" s="66"/>
      <c r="AG276" s="74">
        <f>IFERROR(VLOOKUP(AD276,_xlfn.VSTACK(Table1[],Table14[],Table16[],Table18[],Table110[]),2,0),0)</f>
        <v>0</v>
      </c>
      <c r="AH276" s="108">
        <f t="shared" si="11"/>
        <v>0</v>
      </c>
    </row>
    <row r="277" spans="19:34" ht="24" customHeight="1" x14ac:dyDescent="0.25">
      <c r="S277" s="58"/>
      <c r="T277" s="66"/>
      <c r="U277" s="66"/>
      <c r="V277" s="66"/>
      <c r="AG277" s="74">
        <f>IFERROR(VLOOKUP(AD277,_xlfn.VSTACK(Table1[],Table14[],Table16[],Table18[],Table110[]),2,0),0)</f>
        <v>0</v>
      </c>
      <c r="AH277" s="108">
        <f t="shared" si="11"/>
        <v>0</v>
      </c>
    </row>
    <row r="278" spans="19:34" ht="24" customHeight="1" x14ac:dyDescent="0.25">
      <c r="S278" s="58"/>
      <c r="T278" s="66"/>
      <c r="U278" s="66"/>
      <c r="V278" s="66"/>
      <c r="AG278" s="74">
        <f>IFERROR(VLOOKUP(AD278,_xlfn.VSTACK(Table1[],Table14[],Table16[],Table18[],Table110[]),2,0),0)</f>
        <v>0</v>
      </c>
      <c r="AH278" s="108">
        <f t="shared" si="11"/>
        <v>0</v>
      </c>
    </row>
    <row r="279" spans="19:34" ht="24" customHeight="1" x14ac:dyDescent="0.25">
      <c r="S279" s="58"/>
      <c r="T279" s="66"/>
      <c r="U279" s="66"/>
      <c r="V279" s="66"/>
      <c r="AG279" s="74">
        <f>IFERROR(VLOOKUP(AD279,_xlfn.VSTACK(Table1[],Table14[],Table16[],Table18[],Table110[]),2,0),0)</f>
        <v>0</v>
      </c>
      <c r="AH279" s="108">
        <f t="shared" si="11"/>
        <v>0</v>
      </c>
    </row>
    <row r="280" spans="19:34" ht="24" customHeight="1" x14ac:dyDescent="0.25">
      <c r="S280" s="58"/>
      <c r="T280" s="66"/>
      <c r="U280" s="66"/>
      <c r="V280" s="66"/>
      <c r="AG280" s="74">
        <f>IFERROR(VLOOKUP(AD280,_xlfn.VSTACK(Table1[],Table14[],Table16[],Table18[],Table110[]),2,0),0)</f>
        <v>0</v>
      </c>
      <c r="AH280" s="108">
        <f t="shared" si="11"/>
        <v>0</v>
      </c>
    </row>
    <row r="281" spans="19:34" ht="24" customHeight="1" x14ac:dyDescent="0.25">
      <c r="S281" s="58"/>
      <c r="T281" s="66"/>
      <c r="U281" s="66"/>
      <c r="V281" s="66"/>
      <c r="AG281" s="74">
        <f>IFERROR(VLOOKUP(AD281,_xlfn.VSTACK(Table1[],Table14[],Table16[],Table18[],Table110[]),2,0),0)</f>
        <v>0</v>
      </c>
      <c r="AH281" s="108">
        <f t="shared" si="11"/>
        <v>0</v>
      </c>
    </row>
    <row r="282" spans="19:34" ht="24" customHeight="1" x14ac:dyDescent="0.25">
      <c r="S282" s="58"/>
      <c r="T282" s="66"/>
      <c r="U282" s="66"/>
      <c r="V282" s="66"/>
      <c r="AG282" s="74">
        <f>IFERROR(VLOOKUP(AD282,_xlfn.VSTACK(Table1[],Table14[],Table16[],Table18[],Table110[]),2,0),0)</f>
        <v>0</v>
      </c>
      <c r="AH282" s="108">
        <f t="shared" si="11"/>
        <v>0</v>
      </c>
    </row>
    <row r="283" spans="19:34" ht="24" customHeight="1" x14ac:dyDescent="0.25">
      <c r="S283" s="58"/>
      <c r="T283" s="66"/>
      <c r="U283" s="66"/>
      <c r="V283" s="66"/>
      <c r="AG283" s="74">
        <f>IFERROR(VLOOKUP(AD283,_xlfn.VSTACK(Table1[],Table14[],Table16[],Table18[],Table110[]),2,0),0)</f>
        <v>0</v>
      </c>
      <c r="AH283" s="108">
        <f t="shared" si="11"/>
        <v>0</v>
      </c>
    </row>
    <row r="284" spans="19:34" ht="24" customHeight="1" x14ac:dyDescent="0.25">
      <c r="S284" s="58"/>
      <c r="T284" s="66"/>
      <c r="U284" s="66"/>
      <c r="V284" s="66"/>
      <c r="AG284" s="74">
        <f>IFERROR(VLOOKUP(AD284,_xlfn.VSTACK(Table1[],Table14[],Table16[],Table18[],Table110[]),2,0),0)</f>
        <v>0</v>
      </c>
      <c r="AH284" s="108">
        <f t="shared" si="11"/>
        <v>0</v>
      </c>
    </row>
    <row r="285" spans="19:34" ht="24" customHeight="1" x14ac:dyDescent="0.25">
      <c r="S285" s="58"/>
      <c r="T285" s="66"/>
      <c r="U285" s="66"/>
      <c r="V285" s="66"/>
      <c r="AG285" s="74">
        <f>IFERROR(VLOOKUP(AD285,_xlfn.VSTACK(Table1[],Table14[],Table16[],Table18[],Table110[]),2,0),0)</f>
        <v>0</v>
      </c>
      <c r="AH285" s="108">
        <f t="shared" si="11"/>
        <v>0</v>
      </c>
    </row>
    <row r="286" spans="19:34" ht="24" customHeight="1" x14ac:dyDescent="0.25">
      <c r="S286" s="58"/>
      <c r="T286" s="66"/>
      <c r="U286" s="66"/>
      <c r="V286" s="66"/>
      <c r="AG286" s="74">
        <f>IFERROR(VLOOKUP(AD286,_xlfn.VSTACK(Table1[],Table14[],Table16[],Table18[],Table110[]),2,0),0)</f>
        <v>0</v>
      </c>
      <c r="AH286" s="108">
        <f t="shared" si="11"/>
        <v>0</v>
      </c>
    </row>
    <row r="287" spans="19:34" ht="24" customHeight="1" x14ac:dyDescent="0.25">
      <c r="S287" s="58"/>
      <c r="T287" s="66"/>
      <c r="U287" s="66"/>
      <c r="V287" s="66"/>
      <c r="AG287" s="74">
        <f>IFERROR(VLOOKUP(AD287,_xlfn.VSTACK(Table1[],Table14[],Table16[],Table18[],Table110[]),2,0),0)</f>
        <v>0</v>
      </c>
      <c r="AH287" s="108">
        <f t="shared" si="11"/>
        <v>0</v>
      </c>
    </row>
    <row r="288" spans="19:34" ht="24" customHeight="1" x14ac:dyDescent="0.25">
      <c r="S288" s="58"/>
      <c r="T288" s="66"/>
      <c r="U288" s="66"/>
      <c r="V288" s="66"/>
      <c r="AG288" s="74">
        <f>IFERROR(VLOOKUP(AD288,_xlfn.VSTACK(Table1[],Table14[],Table16[],Table18[],Table110[]),2,0),0)</f>
        <v>0</v>
      </c>
      <c r="AH288" s="108">
        <f t="shared" si="11"/>
        <v>0</v>
      </c>
    </row>
    <row r="289" spans="19:34" ht="24" customHeight="1" x14ac:dyDescent="0.25">
      <c r="S289" s="58"/>
      <c r="T289" s="66"/>
      <c r="U289" s="66"/>
      <c r="V289" s="66"/>
      <c r="AG289" s="74">
        <f>IFERROR(VLOOKUP(AD289,_xlfn.VSTACK(Table1[],Table14[],Table16[],Table18[],Table110[]),2,0),0)</f>
        <v>0</v>
      </c>
      <c r="AH289" s="108">
        <f t="shared" si="11"/>
        <v>0</v>
      </c>
    </row>
    <row r="290" spans="19:34" ht="24" customHeight="1" x14ac:dyDescent="0.25">
      <c r="S290" s="58"/>
      <c r="T290" s="66"/>
      <c r="U290" s="66"/>
      <c r="V290" s="66"/>
      <c r="AG290" s="74">
        <f>IFERROR(VLOOKUP(AD290,_xlfn.VSTACK(Table1[],Table14[],Table16[],Table18[],Table110[]),2,0),0)</f>
        <v>0</v>
      </c>
      <c r="AH290" s="108">
        <f t="shared" si="11"/>
        <v>0</v>
      </c>
    </row>
    <row r="291" spans="19:34" ht="24" customHeight="1" x14ac:dyDescent="0.25">
      <c r="S291" s="58"/>
      <c r="T291" s="66"/>
      <c r="U291" s="66"/>
      <c r="V291" s="66"/>
      <c r="AG291" s="74">
        <f>IFERROR(VLOOKUP(AD291,_xlfn.VSTACK(Table1[],Table14[],Table16[],Table18[],Table110[]),2,0),0)</f>
        <v>0</v>
      </c>
      <c r="AH291" s="108">
        <f t="shared" si="11"/>
        <v>0</v>
      </c>
    </row>
    <row r="292" spans="19:34" ht="24" customHeight="1" x14ac:dyDescent="0.25">
      <c r="S292" s="58"/>
      <c r="T292" s="66"/>
      <c r="U292" s="66"/>
      <c r="V292" s="66"/>
      <c r="AG292" s="74">
        <f>IFERROR(VLOOKUP(AD292,_xlfn.VSTACK(Table1[],Table14[],Table16[],Table18[],Table110[]),2,0),0)</f>
        <v>0</v>
      </c>
      <c r="AH292" s="108">
        <f t="shared" si="11"/>
        <v>0</v>
      </c>
    </row>
    <row r="293" spans="19:34" ht="24" customHeight="1" x14ac:dyDescent="0.25">
      <c r="S293" s="58"/>
      <c r="T293" s="66"/>
      <c r="U293" s="66"/>
      <c r="V293" s="66"/>
      <c r="AG293" s="74">
        <f>IFERROR(VLOOKUP(AD293,_xlfn.VSTACK(Table1[],Table14[],Table16[],Table18[],Table110[]),2,0),0)</f>
        <v>0</v>
      </c>
      <c r="AH293" s="108">
        <f t="shared" si="11"/>
        <v>0</v>
      </c>
    </row>
    <row r="294" spans="19:34" ht="24" customHeight="1" x14ac:dyDescent="0.25">
      <c r="S294" s="58"/>
      <c r="T294" s="66"/>
      <c r="U294" s="66"/>
      <c r="V294" s="66"/>
      <c r="AG294" s="74">
        <f>IFERROR(VLOOKUP(AD294,_xlfn.VSTACK(Table1[],Table14[],Table16[],Table18[],Table110[]),2,0),0)</f>
        <v>0</v>
      </c>
      <c r="AH294" s="108">
        <f t="shared" si="11"/>
        <v>0</v>
      </c>
    </row>
    <row r="295" spans="19:34" ht="24" customHeight="1" x14ac:dyDescent="0.25">
      <c r="S295" s="58"/>
      <c r="T295" s="66"/>
      <c r="U295" s="66"/>
      <c r="V295" s="66"/>
      <c r="AG295" s="74">
        <f>IFERROR(VLOOKUP(AD295,_xlfn.VSTACK(Table1[],Table14[],Table16[],Table18[],Table110[]),2,0),0)</f>
        <v>0</v>
      </c>
      <c r="AH295" s="108">
        <f t="shared" si="11"/>
        <v>0</v>
      </c>
    </row>
    <row r="296" spans="19:34" ht="24" customHeight="1" x14ac:dyDescent="0.25">
      <c r="S296" s="58"/>
      <c r="T296" s="66"/>
      <c r="U296" s="66"/>
      <c r="V296" s="66"/>
      <c r="AG296" s="74">
        <f>IFERROR(VLOOKUP(AD296,_xlfn.VSTACK(Table1[],Table14[],Table16[],Table18[],Table110[]),2,0),0)</f>
        <v>0</v>
      </c>
      <c r="AH296" s="108">
        <f t="shared" si="11"/>
        <v>0</v>
      </c>
    </row>
    <row r="297" spans="19:34" ht="24" customHeight="1" x14ac:dyDescent="0.25">
      <c r="S297" s="58"/>
      <c r="T297" s="66"/>
      <c r="U297" s="66"/>
      <c r="V297" s="66"/>
      <c r="AG297" s="74">
        <f>IFERROR(VLOOKUP(AD297,_xlfn.VSTACK(Table1[],Table14[],Table16[],Table18[],Table110[]),2,0),0)</f>
        <v>0</v>
      </c>
      <c r="AH297" s="108">
        <f t="shared" si="11"/>
        <v>0</v>
      </c>
    </row>
    <row r="298" spans="19:34" ht="24" customHeight="1" x14ac:dyDescent="0.25">
      <c r="S298" s="58"/>
      <c r="T298" s="66"/>
      <c r="U298" s="66"/>
      <c r="V298" s="66"/>
      <c r="AG298" s="74">
        <f>IFERROR(VLOOKUP(AD298,_xlfn.VSTACK(Table1[],Table14[],Table16[],Table18[],Table110[]),2,0),0)</f>
        <v>0</v>
      </c>
      <c r="AH298" s="108">
        <f t="shared" si="11"/>
        <v>0</v>
      </c>
    </row>
    <row r="299" spans="19:34" ht="24" customHeight="1" x14ac:dyDescent="0.25">
      <c r="S299" s="58"/>
      <c r="T299" s="66"/>
      <c r="U299" s="66"/>
      <c r="V299" s="66"/>
      <c r="AG299" s="74">
        <f>IFERROR(VLOOKUP(AD299,_xlfn.VSTACK(Table1[],Table14[],Table16[],Table18[],Table110[]),2,0),0)</f>
        <v>0</v>
      </c>
      <c r="AH299" s="108">
        <f t="shared" si="11"/>
        <v>0</v>
      </c>
    </row>
    <row r="300" spans="19:34" ht="24" customHeight="1" x14ac:dyDescent="0.25">
      <c r="S300" s="58"/>
      <c r="T300" s="66"/>
      <c r="U300" s="66"/>
      <c r="V300" s="66"/>
      <c r="AG300" s="74">
        <f>IFERROR(VLOOKUP(AD300,_xlfn.VSTACK(Table1[],Table14[],Table16[],Table18[],Table110[]),2,0),0)</f>
        <v>0</v>
      </c>
      <c r="AH300" s="108">
        <f t="shared" si="11"/>
        <v>0</v>
      </c>
    </row>
  </sheetData>
  <pageMargins left="0.7" right="0.7" top="0.75" bottom="0.75" header="0.3" footer="0.3"/>
  <ignoredErrors>
    <ignoredError sqref="B3" calculatedColumn="1"/>
  </ignoredErrors>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F4B54-0B5B-4A54-801A-00F64AA95382}">
  <sheetPr>
    <tabColor rgb="FFEC3957"/>
  </sheetPr>
  <dimension ref="A1:J621"/>
  <sheetViews>
    <sheetView showGridLines="0" zoomScaleNormal="100" workbookViewId="0">
      <pane ySplit="5" topLeftCell="A620" activePane="bottomLeft" state="frozen"/>
      <selection pane="bottomLeft" activeCell="D631" sqref="D631"/>
    </sheetView>
  </sheetViews>
  <sheetFormatPr defaultColWidth="14.69921875" defaultRowHeight="27.75" customHeight="1" x14ac:dyDescent="0.25"/>
  <cols>
    <col min="1" max="1" width="1.5" style="12" customWidth="1"/>
    <col min="2" max="2" width="3.59765625" style="12" customWidth="1"/>
    <col min="3" max="3" width="20.69921875" style="12" customWidth="1"/>
    <col min="4" max="4" width="38.3984375" style="12" customWidth="1"/>
    <col min="5" max="5" width="39" style="12" customWidth="1"/>
    <col min="6" max="6" width="49.19921875" style="12" customWidth="1"/>
    <col min="7" max="7" width="18.3984375" style="12" customWidth="1"/>
    <col min="8" max="8" width="23.5" style="15" customWidth="1"/>
    <col min="9" max="16384" width="14.69921875" style="12"/>
  </cols>
  <sheetData>
    <row r="1" spans="1:10" ht="10.5" customHeight="1" x14ac:dyDescent="0.25"/>
    <row r="2" spans="1:10" ht="38.25" customHeight="1" x14ac:dyDescent="0.5">
      <c r="A2" s="86"/>
      <c r="B2" s="13" t="s">
        <v>32</v>
      </c>
      <c r="C2" s="14"/>
      <c r="D2" s="14"/>
      <c r="E2" s="14"/>
      <c r="F2" s="14"/>
      <c r="G2" s="14"/>
      <c r="H2" s="24"/>
      <c r="I2" s="14"/>
      <c r="J2" s="14"/>
    </row>
    <row r="3" spans="1:10" ht="31.5" customHeight="1" x14ac:dyDescent="0.25">
      <c r="A3" s="86"/>
      <c r="B3" s="87" t="s">
        <v>31</v>
      </c>
      <c r="C3" s="14"/>
      <c r="D3" s="14"/>
      <c r="E3" s="14"/>
      <c r="F3" s="14"/>
      <c r="G3" s="14"/>
      <c r="H3" s="24"/>
      <c r="I3" s="14"/>
      <c r="J3" s="14"/>
    </row>
    <row r="5" spans="1:10" ht="33.75" customHeight="1" x14ac:dyDescent="0.25">
      <c r="C5" s="48" t="s">
        <v>22</v>
      </c>
      <c r="D5" s="48" t="s">
        <v>23</v>
      </c>
      <c r="E5" s="48" t="s">
        <v>24</v>
      </c>
      <c r="F5" s="48" t="s">
        <v>25</v>
      </c>
      <c r="G5" s="48" t="s">
        <v>26</v>
      </c>
      <c r="H5" s="12"/>
    </row>
    <row r="6" spans="1:10" ht="27.75" customHeight="1" x14ac:dyDescent="0.25">
      <c r="C6" s="26">
        <v>45658</v>
      </c>
      <c r="D6" s="16" t="s">
        <v>6</v>
      </c>
      <c r="E6" s="27" t="s">
        <v>2</v>
      </c>
      <c r="F6" s="27" t="s">
        <v>2</v>
      </c>
      <c r="G6" s="88">
        <v>1600000</v>
      </c>
      <c r="H6" s="12"/>
    </row>
    <row r="7" spans="1:10" ht="27.75" customHeight="1" x14ac:dyDescent="0.25">
      <c r="C7" s="26">
        <v>45658</v>
      </c>
      <c r="D7" s="16" t="s">
        <v>6</v>
      </c>
      <c r="E7" s="27" t="s">
        <v>3</v>
      </c>
      <c r="F7" s="27" t="s">
        <v>36</v>
      </c>
      <c r="G7" s="88">
        <v>30000</v>
      </c>
      <c r="H7" s="12"/>
    </row>
    <row r="8" spans="1:10" ht="27.75" customHeight="1" x14ac:dyDescent="0.25">
      <c r="C8" s="26">
        <v>45659</v>
      </c>
      <c r="D8" s="16" t="s">
        <v>6</v>
      </c>
      <c r="E8" s="27" t="s">
        <v>3</v>
      </c>
      <c r="F8" s="27" t="s">
        <v>33</v>
      </c>
      <c r="G8" s="88">
        <v>400000</v>
      </c>
      <c r="H8" s="12"/>
    </row>
    <row r="9" spans="1:10" ht="27.75" customHeight="1" x14ac:dyDescent="0.25">
      <c r="C9" s="26">
        <v>45659</v>
      </c>
      <c r="D9" s="16" t="s">
        <v>6</v>
      </c>
      <c r="E9" s="27" t="s">
        <v>3</v>
      </c>
      <c r="F9" s="27" t="s">
        <v>34</v>
      </c>
      <c r="G9" s="88">
        <v>100000</v>
      </c>
      <c r="H9" s="12"/>
    </row>
    <row r="10" spans="1:10" ht="27.75" customHeight="1" x14ac:dyDescent="0.25">
      <c r="C10" s="26">
        <v>45659</v>
      </c>
      <c r="D10" s="16" t="s">
        <v>8</v>
      </c>
      <c r="E10" s="27" t="s">
        <v>14</v>
      </c>
      <c r="F10" s="27" t="s">
        <v>37</v>
      </c>
      <c r="G10" s="88">
        <v>350000</v>
      </c>
      <c r="H10" s="12"/>
    </row>
    <row r="11" spans="1:10" ht="27.75" customHeight="1" x14ac:dyDescent="0.25">
      <c r="C11" s="26">
        <v>45659</v>
      </c>
      <c r="D11" s="16" t="s">
        <v>9</v>
      </c>
      <c r="E11" s="27" t="s">
        <v>17</v>
      </c>
      <c r="F11" s="27" t="s">
        <v>44</v>
      </c>
      <c r="G11" s="88">
        <v>50000</v>
      </c>
      <c r="H11" s="12"/>
    </row>
    <row r="12" spans="1:10" ht="27.75" customHeight="1" x14ac:dyDescent="0.25">
      <c r="C12" s="26">
        <v>45660</v>
      </c>
      <c r="D12" s="16" t="s">
        <v>6</v>
      </c>
      <c r="E12" s="27" t="s">
        <v>3</v>
      </c>
      <c r="F12" s="27" t="s">
        <v>35</v>
      </c>
      <c r="G12" s="88">
        <v>200000</v>
      </c>
      <c r="H12" s="12"/>
    </row>
    <row r="13" spans="1:10" ht="27.75" customHeight="1" x14ac:dyDescent="0.25">
      <c r="C13" s="26">
        <v>45660</v>
      </c>
      <c r="D13" s="16" t="s">
        <v>6</v>
      </c>
      <c r="E13" s="27" t="s">
        <v>5</v>
      </c>
      <c r="F13" s="27" t="s">
        <v>27</v>
      </c>
      <c r="G13" s="88">
        <v>50000</v>
      </c>
      <c r="H13" s="12"/>
    </row>
    <row r="14" spans="1:10" ht="27.75" customHeight="1" x14ac:dyDescent="0.25">
      <c r="C14" s="26">
        <v>45660</v>
      </c>
      <c r="D14" s="16" t="s">
        <v>8</v>
      </c>
      <c r="E14" s="27" t="s">
        <v>4</v>
      </c>
      <c r="F14" s="27" t="s">
        <v>28</v>
      </c>
      <c r="G14" s="88">
        <v>165000</v>
      </c>
      <c r="H14" s="12"/>
    </row>
    <row r="15" spans="1:10" ht="27.75" customHeight="1" x14ac:dyDescent="0.25">
      <c r="C15" s="26">
        <v>45660</v>
      </c>
      <c r="D15" s="16" t="s">
        <v>9</v>
      </c>
      <c r="E15" s="27" t="s">
        <v>12</v>
      </c>
      <c r="F15" s="27" t="s">
        <v>45</v>
      </c>
      <c r="G15" s="88">
        <v>220000</v>
      </c>
      <c r="H15" s="12"/>
    </row>
    <row r="16" spans="1:10" ht="27.75" customHeight="1" x14ac:dyDescent="0.25">
      <c r="C16" s="26">
        <v>45660</v>
      </c>
      <c r="D16" s="16" t="s">
        <v>11</v>
      </c>
      <c r="E16" s="27" t="s">
        <v>20</v>
      </c>
      <c r="F16" s="27" t="s">
        <v>29</v>
      </c>
      <c r="G16" s="88">
        <v>500000</v>
      </c>
      <c r="H16" s="12"/>
    </row>
    <row r="17" spans="3:8" ht="27.75" customHeight="1" x14ac:dyDescent="0.25">
      <c r="C17" s="26">
        <v>45661</v>
      </c>
      <c r="D17" s="16" t="s">
        <v>8</v>
      </c>
      <c r="E17" s="27" t="s">
        <v>4</v>
      </c>
      <c r="F17" s="27" t="s">
        <v>28</v>
      </c>
      <c r="G17" s="88">
        <v>105000</v>
      </c>
      <c r="H17" s="12"/>
    </row>
    <row r="18" spans="3:8" ht="27.75" customHeight="1" x14ac:dyDescent="0.25">
      <c r="C18" s="26">
        <v>45661</v>
      </c>
      <c r="D18" s="16" t="s">
        <v>6</v>
      </c>
      <c r="E18" s="27" t="s">
        <v>5</v>
      </c>
      <c r="F18" s="27" t="s">
        <v>27</v>
      </c>
      <c r="G18" s="88">
        <v>50000</v>
      </c>
      <c r="H18" s="12"/>
    </row>
    <row r="19" spans="3:8" ht="27.75" customHeight="1" x14ac:dyDescent="0.25">
      <c r="C19" s="26">
        <v>45662</v>
      </c>
      <c r="D19" s="16" t="s">
        <v>8</v>
      </c>
      <c r="E19" s="27" t="s">
        <v>13</v>
      </c>
      <c r="F19" s="27" t="s">
        <v>38</v>
      </c>
      <c r="G19" s="88">
        <v>100000</v>
      </c>
      <c r="H19" s="12"/>
    </row>
    <row r="20" spans="3:8" ht="27.75" customHeight="1" x14ac:dyDescent="0.25">
      <c r="C20" s="26">
        <v>45662</v>
      </c>
      <c r="D20" s="16" t="s">
        <v>8</v>
      </c>
      <c r="E20" s="27" t="s">
        <v>4</v>
      </c>
      <c r="F20" s="27" t="s">
        <v>28</v>
      </c>
      <c r="G20" s="88">
        <v>86000</v>
      </c>
      <c r="H20" s="12"/>
    </row>
    <row r="21" spans="3:8" ht="27.75" customHeight="1" x14ac:dyDescent="0.25">
      <c r="C21" s="26">
        <v>45662</v>
      </c>
      <c r="D21" s="16" t="s">
        <v>9</v>
      </c>
      <c r="E21" s="27" t="s">
        <v>17</v>
      </c>
      <c r="F21" s="27" t="s">
        <v>44</v>
      </c>
      <c r="G21" s="88">
        <v>75000</v>
      </c>
      <c r="H21" s="12"/>
    </row>
    <row r="22" spans="3:8" ht="27.75" customHeight="1" x14ac:dyDescent="0.25">
      <c r="C22" s="26">
        <v>45662</v>
      </c>
      <c r="D22" s="16" t="s">
        <v>9</v>
      </c>
      <c r="E22" s="27" t="s">
        <v>15</v>
      </c>
      <c r="F22" s="27" t="s">
        <v>41</v>
      </c>
      <c r="G22" s="88">
        <v>500000</v>
      </c>
      <c r="H22" s="12"/>
    </row>
    <row r="23" spans="3:8" ht="27.75" customHeight="1" x14ac:dyDescent="0.25">
      <c r="C23" s="26">
        <v>45663</v>
      </c>
      <c r="D23" s="16" t="s">
        <v>9</v>
      </c>
      <c r="E23" s="27" t="s">
        <v>12</v>
      </c>
      <c r="F23" s="27" t="s">
        <v>52</v>
      </c>
      <c r="G23" s="88">
        <v>50000</v>
      </c>
      <c r="H23" s="12"/>
    </row>
    <row r="24" spans="3:8" ht="27.75" customHeight="1" x14ac:dyDescent="0.25">
      <c r="C24" s="26">
        <v>45663</v>
      </c>
      <c r="D24" s="16" t="s">
        <v>11</v>
      </c>
      <c r="E24" s="27" t="s">
        <v>21</v>
      </c>
      <c r="F24" s="27" t="s">
        <v>48</v>
      </c>
      <c r="G24" s="88">
        <v>1000000</v>
      </c>
      <c r="H24" s="12"/>
    </row>
    <row r="25" spans="3:8" ht="27.75" customHeight="1" x14ac:dyDescent="0.25">
      <c r="C25" s="26">
        <v>45664</v>
      </c>
      <c r="D25" s="16" t="s">
        <v>6</v>
      </c>
      <c r="E25" s="27" t="s">
        <v>5</v>
      </c>
      <c r="F25" s="27" t="s">
        <v>27</v>
      </c>
      <c r="G25" s="88">
        <v>50000</v>
      </c>
      <c r="H25" s="12"/>
    </row>
    <row r="26" spans="3:8" ht="27.75" customHeight="1" x14ac:dyDescent="0.25">
      <c r="C26" s="26">
        <v>45664</v>
      </c>
      <c r="D26" s="16" t="s">
        <v>6</v>
      </c>
      <c r="E26" s="27" t="s">
        <v>5</v>
      </c>
      <c r="F26" s="27" t="s">
        <v>50</v>
      </c>
      <c r="G26" s="88">
        <v>100000</v>
      </c>
      <c r="H26" s="12"/>
    </row>
    <row r="27" spans="3:8" ht="27.75" customHeight="1" x14ac:dyDescent="0.25">
      <c r="C27" s="26">
        <v>45664</v>
      </c>
      <c r="D27" s="16" t="s">
        <v>6</v>
      </c>
      <c r="E27" s="27" t="s">
        <v>5</v>
      </c>
      <c r="F27" s="27" t="s">
        <v>51</v>
      </c>
      <c r="G27" s="88">
        <v>20000</v>
      </c>
      <c r="H27" s="12"/>
    </row>
    <row r="28" spans="3:8" ht="27.75" customHeight="1" x14ac:dyDescent="0.25">
      <c r="C28" s="26">
        <v>45664</v>
      </c>
      <c r="D28" s="16" t="s">
        <v>8</v>
      </c>
      <c r="E28" s="27" t="s">
        <v>4</v>
      </c>
      <c r="F28" s="27" t="s">
        <v>28</v>
      </c>
      <c r="G28" s="88">
        <v>120000</v>
      </c>
      <c r="H28" s="12"/>
    </row>
    <row r="29" spans="3:8" ht="27.75" customHeight="1" x14ac:dyDescent="0.25">
      <c r="C29" s="26">
        <v>45664</v>
      </c>
      <c r="D29" s="16" t="s">
        <v>9</v>
      </c>
      <c r="E29" s="27" t="s">
        <v>16</v>
      </c>
      <c r="F29" s="27" t="s">
        <v>42</v>
      </c>
      <c r="G29" s="88">
        <v>200000</v>
      </c>
      <c r="H29" s="12"/>
    </row>
    <row r="30" spans="3:8" ht="27.75" customHeight="1" x14ac:dyDescent="0.25">
      <c r="C30" s="26">
        <v>45665</v>
      </c>
      <c r="D30" s="16" t="s">
        <v>9</v>
      </c>
      <c r="E30" s="27" t="s">
        <v>17</v>
      </c>
      <c r="F30" s="27" t="s">
        <v>44</v>
      </c>
      <c r="G30" s="88">
        <v>50000</v>
      </c>
      <c r="H30" s="12"/>
    </row>
    <row r="31" spans="3:8" ht="27.75" customHeight="1" x14ac:dyDescent="0.25">
      <c r="C31" s="26">
        <v>45666</v>
      </c>
      <c r="D31" s="16" t="s">
        <v>6</v>
      </c>
      <c r="E31" s="27" t="s">
        <v>5</v>
      </c>
      <c r="F31" s="27" t="s">
        <v>27</v>
      </c>
      <c r="G31" s="88">
        <v>50000</v>
      </c>
      <c r="H31" s="12"/>
    </row>
    <row r="32" spans="3:8" ht="27.75" customHeight="1" x14ac:dyDescent="0.25">
      <c r="C32" s="26">
        <v>45666</v>
      </c>
      <c r="D32" s="16" t="s">
        <v>8</v>
      </c>
      <c r="E32" s="27" t="s">
        <v>4</v>
      </c>
      <c r="F32" s="27" t="s">
        <v>28</v>
      </c>
      <c r="G32" s="88">
        <v>130000</v>
      </c>
      <c r="H32" s="12"/>
    </row>
    <row r="33" spans="3:8" ht="27.75" customHeight="1" x14ac:dyDescent="0.25">
      <c r="C33" s="26">
        <v>45667</v>
      </c>
      <c r="D33" s="16" t="s">
        <v>8</v>
      </c>
      <c r="E33" s="27" t="s">
        <v>13</v>
      </c>
      <c r="F33" s="27" t="s">
        <v>30</v>
      </c>
      <c r="G33" s="88">
        <v>50000</v>
      </c>
      <c r="H33" s="12"/>
    </row>
    <row r="34" spans="3:8" ht="27.75" customHeight="1" x14ac:dyDescent="0.25">
      <c r="C34" s="26">
        <v>45668</v>
      </c>
      <c r="D34" s="16" t="s">
        <v>9</v>
      </c>
      <c r="E34" s="27" t="s">
        <v>16</v>
      </c>
      <c r="F34" s="27" t="s">
        <v>43</v>
      </c>
      <c r="G34" s="88">
        <v>220000</v>
      </c>
      <c r="H34" s="12"/>
    </row>
    <row r="35" spans="3:8" ht="27.75" customHeight="1" x14ac:dyDescent="0.25">
      <c r="C35" s="26">
        <v>45668</v>
      </c>
      <c r="D35" s="16" t="s">
        <v>8</v>
      </c>
      <c r="E35" s="27" t="s">
        <v>4</v>
      </c>
      <c r="F35" s="27" t="s">
        <v>28</v>
      </c>
      <c r="G35" s="88">
        <v>140000</v>
      </c>
      <c r="H35" s="12"/>
    </row>
    <row r="36" spans="3:8" ht="27.75" customHeight="1" x14ac:dyDescent="0.25">
      <c r="C36" s="26">
        <v>45668</v>
      </c>
      <c r="D36" s="16" t="s">
        <v>9</v>
      </c>
      <c r="E36" s="27" t="s">
        <v>17</v>
      </c>
      <c r="F36" s="27" t="s">
        <v>44</v>
      </c>
      <c r="G36" s="88">
        <v>50000</v>
      </c>
      <c r="H36" s="12"/>
    </row>
    <row r="37" spans="3:8" ht="27.75" customHeight="1" x14ac:dyDescent="0.25">
      <c r="C37" s="26">
        <v>45669</v>
      </c>
      <c r="D37" s="16" t="s">
        <v>9</v>
      </c>
      <c r="E37" s="27" t="s">
        <v>12</v>
      </c>
      <c r="F37" s="27" t="s">
        <v>47</v>
      </c>
      <c r="G37" s="88">
        <v>90000</v>
      </c>
      <c r="H37" s="12"/>
    </row>
    <row r="38" spans="3:8" ht="27.75" customHeight="1" x14ac:dyDescent="0.25">
      <c r="C38" s="26">
        <v>45670</v>
      </c>
      <c r="D38" s="16" t="s">
        <v>8</v>
      </c>
      <c r="E38" s="27" t="s">
        <v>4</v>
      </c>
      <c r="F38" s="27" t="s">
        <v>28</v>
      </c>
      <c r="G38" s="88">
        <v>135000</v>
      </c>
      <c r="H38" s="12"/>
    </row>
    <row r="39" spans="3:8" ht="27.75" customHeight="1" x14ac:dyDescent="0.25">
      <c r="C39" s="26">
        <v>45671</v>
      </c>
      <c r="D39" s="16" t="s">
        <v>9</v>
      </c>
      <c r="E39" s="27" t="s">
        <v>17</v>
      </c>
      <c r="F39" s="27" t="s">
        <v>44</v>
      </c>
      <c r="G39" s="88">
        <v>50000</v>
      </c>
      <c r="H39" s="12"/>
    </row>
    <row r="40" spans="3:8" ht="27.75" customHeight="1" x14ac:dyDescent="0.25">
      <c r="C40" s="26">
        <v>45672</v>
      </c>
      <c r="D40" s="16" t="s">
        <v>6</v>
      </c>
      <c r="E40" s="27" t="s">
        <v>5</v>
      </c>
      <c r="F40" s="27" t="s">
        <v>27</v>
      </c>
      <c r="G40" s="88">
        <v>50000</v>
      </c>
      <c r="H40" s="12"/>
    </row>
    <row r="41" spans="3:8" ht="27.75" customHeight="1" x14ac:dyDescent="0.25">
      <c r="C41" s="26">
        <v>45672</v>
      </c>
      <c r="D41" s="16" t="s">
        <v>8</v>
      </c>
      <c r="E41" s="27" t="s">
        <v>14</v>
      </c>
      <c r="F41" s="27" t="s">
        <v>40</v>
      </c>
      <c r="G41" s="88">
        <v>99000</v>
      </c>
      <c r="H41" s="12"/>
    </row>
    <row r="42" spans="3:8" ht="27.75" customHeight="1" x14ac:dyDescent="0.25">
      <c r="C42" s="26">
        <v>45673</v>
      </c>
      <c r="D42" s="16" t="s">
        <v>8</v>
      </c>
      <c r="E42" s="27" t="s">
        <v>4</v>
      </c>
      <c r="F42" s="27" t="s">
        <v>28</v>
      </c>
      <c r="G42" s="88">
        <v>150000</v>
      </c>
      <c r="H42" s="12"/>
    </row>
    <row r="43" spans="3:8" ht="27.75" customHeight="1" x14ac:dyDescent="0.25">
      <c r="C43" s="26">
        <v>45674</v>
      </c>
      <c r="D43" s="16" t="s">
        <v>8</v>
      </c>
      <c r="E43" s="27" t="s">
        <v>4</v>
      </c>
      <c r="F43" s="27" t="s">
        <v>28</v>
      </c>
      <c r="G43" s="88">
        <v>160000</v>
      </c>
      <c r="H43" s="12"/>
    </row>
    <row r="44" spans="3:8" ht="27.75" customHeight="1" x14ac:dyDescent="0.25">
      <c r="C44" s="26">
        <v>45675</v>
      </c>
      <c r="D44" s="16" t="s">
        <v>9</v>
      </c>
      <c r="E44" s="27" t="s">
        <v>17</v>
      </c>
      <c r="F44" s="27" t="s">
        <v>44</v>
      </c>
      <c r="G44" s="88">
        <v>50000</v>
      </c>
      <c r="H44" s="12"/>
    </row>
    <row r="45" spans="3:8" ht="27.75" customHeight="1" x14ac:dyDescent="0.25">
      <c r="C45" s="26">
        <v>45676</v>
      </c>
      <c r="D45" s="16" t="s">
        <v>8</v>
      </c>
      <c r="E45" s="27" t="s">
        <v>4</v>
      </c>
      <c r="F45" s="27" t="s">
        <v>28</v>
      </c>
      <c r="G45" s="88">
        <v>94000</v>
      </c>
      <c r="H45" s="12"/>
    </row>
    <row r="46" spans="3:8" ht="27.75" customHeight="1" x14ac:dyDescent="0.25">
      <c r="C46" s="26">
        <v>45677</v>
      </c>
      <c r="D46" s="16" t="s">
        <v>6</v>
      </c>
      <c r="E46" s="27" t="s">
        <v>5</v>
      </c>
      <c r="F46" s="27" t="s">
        <v>27</v>
      </c>
      <c r="G46" s="88">
        <v>50000</v>
      </c>
      <c r="H46" s="12"/>
    </row>
    <row r="47" spans="3:8" ht="27.75" customHeight="1" x14ac:dyDescent="0.25">
      <c r="C47" s="26">
        <v>45677</v>
      </c>
      <c r="D47" s="16" t="s">
        <v>8</v>
      </c>
      <c r="E47" s="27" t="s">
        <v>13</v>
      </c>
      <c r="F47" s="27" t="s">
        <v>39</v>
      </c>
      <c r="G47" s="88">
        <v>65000</v>
      </c>
      <c r="H47" s="12"/>
    </row>
    <row r="48" spans="3:8" ht="27.75" customHeight="1" x14ac:dyDescent="0.25">
      <c r="C48" s="26">
        <v>45677</v>
      </c>
      <c r="D48" s="16" t="s">
        <v>9</v>
      </c>
      <c r="E48" s="27" t="s">
        <v>17</v>
      </c>
      <c r="F48" s="27" t="s">
        <v>44</v>
      </c>
      <c r="G48" s="88">
        <v>50000</v>
      </c>
      <c r="H48" s="12"/>
    </row>
    <row r="49" spans="3:9" ht="27.75" customHeight="1" x14ac:dyDescent="0.25">
      <c r="C49" s="26">
        <v>45678</v>
      </c>
      <c r="D49" s="16" t="s">
        <v>8</v>
      </c>
      <c r="E49" s="27" t="s">
        <v>4</v>
      </c>
      <c r="F49" s="27" t="s">
        <v>28</v>
      </c>
      <c r="G49" s="88">
        <v>150000</v>
      </c>
      <c r="H49" s="12"/>
    </row>
    <row r="50" spans="3:9" ht="27.75" customHeight="1" x14ac:dyDescent="0.25">
      <c r="C50" s="26">
        <v>45679</v>
      </c>
      <c r="D50" s="16" t="s">
        <v>8</v>
      </c>
      <c r="E50" s="27" t="s">
        <v>4</v>
      </c>
      <c r="F50" s="27" t="s">
        <v>28</v>
      </c>
      <c r="G50" s="88">
        <v>125000</v>
      </c>
      <c r="H50" s="12"/>
    </row>
    <row r="51" spans="3:9" ht="27.75" customHeight="1" x14ac:dyDescent="0.25">
      <c r="C51" s="26">
        <v>45680</v>
      </c>
      <c r="D51" s="16" t="s">
        <v>9</v>
      </c>
      <c r="E51" s="27" t="s">
        <v>12</v>
      </c>
      <c r="F51" s="27" t="s">
        <v>46</v>
      </c>
      <c r="G51" s="88">
        <v>110000</v>
      </c>
      <c r="H51" s="12"/>
    </row>
    <row r="52" spans="3:9" ht="27.75" customHeight="1" x14ac:dyDescent="0.25">
      <c r="C52" s="26">
        <v>45680</v>
      </c>
      <c r="D52" s="16" t="s">
        <v>10</v>
      </c>
      <c r="E52" s="27" t="s">
        <v>18</v>
      </c>
      <c r="F52" s="27" t="s">
        <v>49</v>
      </c>
      <c r="G52" s="88">
        <v>150000</v>
      </c>
      <c r="H52" s="12"/>
    </row>
    <row r="53" spans="3:9" ht="27.75" customHeight="1" x14ac:dyDescent="0.25">
      <c r="C53" s="26">
        <v>45681</v>
      </c>
      <c r="D53" s="16" t="s">
        <v>6</v>
      </c>
      <c r="E53" s="27" t="s">
        <v>5</v>
      </c>
      <c r="F53" s="27" t="s">
        <v>27</v>
      </c>
      <c r="G53" s="88">
        <v>50000</v>
      </c>
      <c r="H53" s="12"/>
    </row>
    <row r="54" spans="3:9" ht="27.75" customHeight="1" x14ac:dyDescent="0.25">
      <c r="C54" s="26">
        <v>45682</v>
      </c>
      <c r="D54" s="16" t="s">
        <v>8</v>
      </c>
      <c r="E54" s="27" t="s">
        <v>13</v>
      </c>
      <c r="F54" s="27" t="s">
        <v>30</v>
      </c>
      <c r="G54" s="88">
        <v>50000</v>
      </c>
      <c r="H54" s="12"/>
    </row>
    <row r="55" spans="3:9" ht="27.75" customHeight="1" x14ac:dyDescent="0.25">
      <c r="C55" s="26">
        <v>45682</v>
      </c>
      <c r="D55" s="16" t="s">
        <v>8</v>
      </c>
      <c r="E55" s="27" t="s">
        <v>4</v>
      </c>
      <c r="F55" s="27" t="s">
        <v>28</v>
      </c>
      <c r="G55" s="88">
        <v>120000</v>
      </c>
      <c r="H55" s="12"/>
    </row>
    <row r="56" spans="3:9" ht="27.75" customHeight="1" x14ac:dyDescent="0.25">
      <c r="C56" s="26">
        <v>45684</v>
      </c>
      <c r="D56" s="16" t="s">
        <v>8</v>
      </c>
      <c r="E56" s="27" t="s">
        <v>4</v>
      </c>
      <c r="F56" s="27" t="s">
        <v>28</v>
      </c>
      <c r="G56" s="88">
        <v>105000</v>
      </c>
      <c r="H56" s="12"/>
    </row>
    <row r="57" spans="3:9" ht="27.75" customHeight="1" x14ac:dyDescent="0.25">
      <c r="C57" s="26">
        <v>45685</v>
      </c>
      <c r="D57" s="16" t="s">
        <v>6</v>
      </c>
      <c r="E57" s="27" t="s">
        <v>5</v>
      </c>
      <c r="F57" s="27" t="s">
        <v>27</v>
      </c>
      <c r="G57" s="88">
        <v>50000</v>
      </c>
      <c r="H57" s="12"/>
    </row>
    <row r="58" spans="3:9" ht="27.75" customHeight="1" x14ac:dyDescent="0.25">
      <c r="C58" s="26">
        <v>45686</v>
      </c>
      <c r="D58" s="16" t="s">
        <v>8</v>
      </c>
      <c r="E58" s="27" t="s">
        <v>4</v>
      </c>
      <c r="F58" s="27" t="s">
        <v>28</v>
      </c>
      <c r="G58" s="88">
        <v>120000</v>
      </c>
      <c r="H58" s="12"/>
    </row>
    <row r="59" spans="3:9" ht="27.75" customHeight="1" x14ac:dyDescent="0.25">
      <c r="C59" s="26">
        <v>45687</v>
      </c>
      <c r="D59" s="16" t="s">
        <v>6</v>
      </c>
      <c r="E59" s="27" t="s">
        <v>5</v>
      </c>
      <c r="F59" s="27" t="s">
        <v>27</v>
      </c>
      <c r="G59" s="88">
        <v>50000</v>
      </c>
      <c r="H59" s="12"/>
    </row>
    <row r="60" spans="3:9" ht="27.75" customHeight="1" x14ac:dyDescent="0.25">
      <c r="C60" s="26">
        <v>45689</v>
      </c>
      <c r="D60" s="16" t="s">
        <v>6</v>
      </c>
      <c r="E60" s="27" t="s">
        <v>2</v>
      </c>
      <c r="F60" s="27" t="s">
        <v>2</v>
      </c>
      <c r="G60" s="88">
        <v>1600000</v>
      </c>
      <c r="H60" s="12"/>
      <c r="I60" s="22"/>
    </row>
    <row r="61" spans="3:9" ht="27.75" customHeight="1" x14ac:dyDescent="0.25">
      <c r="C61" s="26">
        <v>45689</v>
      </c>
      <c r="D61" s="16" t="s">
        <v>6</v>
      </c>
      <c r="E61" s="27" t="s">
        <v>3</v>
      </c>
      <c r="F61" s="27" t="s">
        <v>36</v>
      </c>
      <c r="G61" s="88">
        <v>32000</v>
      </c>
      <c r="H61" s="12"/>
    </row>
    <row r="62" spans="3:9" ht="27.75" customHeight="1" x14ac:dyDescent="0.25">
      <c r="C62" s="26">
        <v>45690</v>
      </c>
      <c r="D62" s="16" t="s">
        <v>6</v>
      </c>
      <c r="E62" s="27" t="s">
        <v>3</v>
      </c>
      <c r="F62" s="27" t="s">
        <v>33</v>
      </c>
      <c r="G62" s="88">
        <v>420000</v>
      </c>
      <c r="H62" s="12"/>
    </row>
    <row r="63" spans="3:9" ht="27.75" customHeight="1" x14ac:dyDescent="0.25">
      <c r="C63" s="26">
        <v>45690</v>
      </c>
      <c r="D63" s="16" t="s">
        <v>6</v>
      </c>
      <c r="E63" s="27" t="s">
        <v>3</v>
      </c>
      <c r="F63" s="27" t="s">
        <v>34</v>
      </c>
      <c r="G63" s="88">
        <v>105000</v>
      </c>
      <c r="H63" s="12"/>
    </row>
    <row r="64" spans="3:9" ht="27.75" customHeight="1" x14ac:dyDescent="0.25">
      <c r="C64" s="26">
        <v>45690</v>
      </c>
      <c r="D64" s="16" t="s">
        <v>8</v>
      </c>
      <c r="E64" s="27" t="s">
        <v>14</v>
      </c>
      <c r="F64" s="27" t="s">
        <v>37</v>
      </c>
      <c r="G64" s="88">
        <v>357000</v>
      </c>
      <c r="H64" s="12"/>
    </row>
    <row r="65" spans="3:8" ht="27.75" customHeight="1" x14ac:dyDescent="0.25">
      <c r="C65" s="26">
        <v>45690</v>
      </c>
      <c r="D65" s="16" t="s">
        <v>9</v>
      </c>
      <c r="E65" s="27" t="s">
        <v>17</v>
      </c>
      <c r="F65" s="27" t="s">
        <v>44</v>
      </c>
      <c r="G65" s="88">
        <v>53000</v>
      </c>
      <c r="H65" s="12"/>
    </row>
    <row r="66" spans="3:8" ht="27.75" customHeight="1" x14ac:dyDescent="0.25">
      <c r="C66" s="26">
        <v>45691</v>
      </c>
      <c r="D66" s="16" t="s">
        <v>6</v>
      </c>
      <c r="E66" s="27" t="s">
        <v>3</v>
      </c>
      <c r="F66" s="27" t="s">
        <v>35</v>
      </c>
      <c r="G66" s="88">
        <v>220000</v>
      </c>
      <c r="H66" s="12"/>
    </row>
    <row r="67" spans="3:8" ht="27.75" customHeight="1" x14ac:dyDescent="0.25">
      <c r="C67" s="26">
        <v>45691</v>
      </c>
      <c r="D67" s="16" t="s">
        <v>6</v>
      </c>
      <c r="E67" s="27" t="s">
        <v>5</v>
      </c>
      <c r="F67" s="27" t="s">
        <v>27</v>
      </c>
      <c r="G67" s="88">
        <v>54000</v>
      </c>
      <c r="H67" s="12"/>
    </row>
    <row r="68" spans="3:8" ht="27.75" customHeight="1" x14ac:dyDescent="0.25">
      <c r="C68" s="26">
        <v>45691</v>
      </c>
      <c r="D68" s="16" t="s">
        <v>8</v>
      </c>
      <c r="E68" s="27" t="s">
        <v>4</v>
      </c>
      <c r="F68" s="27" t="s">
        <v>28</v>
      </c>
      <c r="G68" s="88">
        <v>177000</v>
      </c>
      <c r="H68" s="12"/>
    </row>
    <row r="69" spans="3:8" ht="27.75" customHeight="1" x14ac:dyDescent="0.25">
      <c r="C69" s="26">
        <v>45691</v>
      </c>
      <c r="D69" s="16" t="s">
        <v>9</v>
      </c>
      <c r="E69" s="27" t="s">
        <v>12</v>
      </c>
      <c r="F69" s="27" t="s">
        <v>45</v>
      </c>
      <c r="G69" s="88">
        <v>238000</v>
      </c>
      <c r="H69" s="12"/>
    </row>
    <row r="70" spans="3:8" ht="27.75" customHeight="1" x14ac:dyDescent="0.25">
      <c r="C70" s="26">
        <v>45691</v>
      </c>
      <c r="D70" s="16" t="s">
        <v>11</v>
      </c>
      <c r="E70" s="27" t="s">
        <v>20</v>
      </c>
      <c r="F70" s="27" t="s">
        <v>29</v>
      </c>
      <c r="G70" s="88">
        <v>500000</v>
      </c>
      <c r="H70" s="12"/>
    </row>
    <row r="71" spans="3:8" ht="27.75" customHeight="1" x14ac:dyDescent="0.25">
      <c r="C71" s="26">
        <v>45692</v>
      </c>
      <c r="D71" s="16" t="s">
        <v>8</v>
      </c>
      <c r="E71" s="27" t="s">
        <v>4</v>
      </c>
      <c r="F71" s="27" t="s">
        <v>28</v>
      </c>
      <c r="G71" s="88">
        <v>116000</v>
      </c>
      <c r="H71" s="12"/>
    </row>
    <row r="72" spans="3:8" ht="27.75" customHeight="1" x14ac:dyDescent="0.25">
      <c r="C72" s="26">
        <v>45692</v>
      </c>
      <c r="D72" s="16" t="s">
        <v>6</v>
      </c>
      <c r="E72" s="27" t="s">
        <v>5</v>
      </c>
      <c r="F72" s="27" t="s">
        <v>27</v>
      </c>
      <c r="G72" s="88">
        <v>47000</v>
      </c>
      <c r="H72" s="12"/>
    </row>
    <row r="73" spans="3:8" ht="27.75" customHeight="1" x14ac:dyDescent="0.25">
      <c r="C73" s="26">
        <v>45693</v>
      </c>
      <c r="D73" s="16" t="s">
        <v>8</v>
      </c>
      <c r="E73" s="27" t="s">
        <v>13</v>
      </c>
      <c r="F73" s="27" t="s">
        <v>38</v>
      </c>
      <c r="G73" s="88">
        <v>105000</v>
      </c>
      <c r="H73" s="12"/>
    </row>
    <row r="74" spans="3:8" ht="27.75" customHeight="1" x14ac:dyDescent="0.25">
      <c r="C74" s="26">
        <v>45693</v>
      </c>
      <c r="D74" s="16" t="s">
        <v>8</v>
      </c>
      <c r="E74" s="27" t="s">
        <v>4</v>
      </c>
      <c r="F74" s="27" t="s">
        <v>28</v>
      </c>
      <c r="G74" s="88">
        <v>84000</v>
      </c>
      <c r="H74" s="12"/>
    </row>
    <row r="75" spans="3:8" ht="27.75" customHeight="1" x14ac:dyDescent="0.25">
      <c r="C75" s="26">
        <v>45693</v>
      </c>
      <c r="D75" s="16" t="s">
        <v>9</v>
      </c>
      <c r="E75" s="27" t="s">
        <v>17</v>
      </c>
      <c r="F75" s="27" t="s">
        <v>44</v>
      </c>
      <c r="G75" s="88">
        <v>70000</v>
      </c>
      <c r="H75" s="12"/>
    </row>
    <row r="76" spans="3:8" ht="27.75" customHeight="1" x14ac:dyDescent="0.25">
      <c r="C76" s="26">
        <v>45693</v>
      </c>
      <c r="D76" s="16" t="s">
        <v>9</v>
      </c>
      <c r="E76" s="27" t="s">
        <v>15</v>
      </c>
      <c r="F76" s="27" t="s">
        <v>41</v>
      </c>
      <c r="G76" s="88">
        <v>500000</v>
      </c>
      <c r="H76" s="12"/>
    </row>
    <row r="77" spans="3:8" ht="27.75" customHeight="1" x14ac:dyDescent="0.25">
      <c r="C77" s="26">
        <v>45694</v>
      </c>
      <c r="D77" s="16" t="s">
        <v>9</v>
      </c>
      <c r="E77" s="27" t="s">
        <v>12</v>
      </c>
      <c r="F77" s="27" t="s">
        <v>52</v>
      </c>
      <c r="G77" s="88">
        <v>50000</v>
      </c>
      <c r="H77" s="12"/>
    </row>
    <row r="78" spans="3:8" ht="27.75" customHeight="1" x14ac:dyDescent="0.25">
      <c r="C78" s="26">
        <v>45694</v>
      </c>
      <c r="D78" s="16" t="s">
        <v>11</v>
      </c>
      <c r="E78" s="27" t="s">
        <v>21</v>
      </c>
      <c r="F78" s="27" t="s">
        <v>48</v>
      </c>
      <c r="G78" s="88">
        <v>1000000</v>
      </c>
      <c r="H78" s="12"/>
    </row>
    <row r="79" spans="3:8" ht="27.75" customHeight="1" x14ac:dyDescent="0.25">
      <c r="C79" s="26">
        <v>45695</v>
      </c>
      <c r="D79" s="16" t="s">
        <v>6</v>
      </c>
      <c r="E79" s="27" t="s">
        <v>5</v>
      </c>
      <c r="F79" s="27" t="s">
        <v>27</v>
      </c>
      <c r="G79" s="88">
        <v>51000</v>
      </c>
      <c r="H79" s="12"/>
    </row>
    <row r="80" spans="3:8" ht="27.75" customHeight="1" x14ac:dyDescent="0.25">
      <c r="C80" s="26">
        <v>45695</v>
      </c>
      <c r="D80" s="16" t="s">
        <v>6</v>
      </c>
      <c r="E80" s="27" t="s">
        <v>5</v>
      </c>
      <c r="F80" s="27" t="s">
        <v>50</v>
      </c>
      <c r="G80" s="88">
        <v>105000</v>
      </c>
      <c r="H80" s="12"/>
    </row>
    <row r="81" spans="3:8" ht="27.75" customHeight="1" x14ac:dyDescent="0.25">
      <c r="C81" s="26">
        <v>45695</v>
      </c>
      <c r="D81" s="16" t="s">
        <v>6</v>
      </c>
      <c r="E81" s="27" t="s">
        <v>5</v>
      </c>
      <c r="F81" s="27" t="s">
        <v>51</v>
      </c>
      <c r="G81" s="88">
        <v>20000</v>
      </c>
      <c r="H81" s="12"/>
    </row>
    <row r="82" spans="3:8" ht="27.75" customHeight="1" x14ac:dyDescent="0.25">
      <c r="C82" s="26">
        <v>45695</v>
      </c>
      <c r="D82" s="16" t="s">
        <v>8</v>
      </c>
      <c r="E82" s="27" t="s">
        <v>4</v>
      </c>
      <c r="F82" s="27" t="s">
        <v>28</v>
      </c>
      <c r="G82" s="88">
        <v>125000</v>
      </c>
      <c r="H82" s="12"/>
    </row>
    <row r="83" spans="3:8" ht="27.75" customHeight="1" x14ac:dyDescent="0.25">
      <c r="C83" s="26">
        <v>45695</v>
      </c>
      <c r="D83" s="16" t="s">
        <v>9</v>
      </c>
      <c r="E83" s="27" t="s">
        <v>16</v>
      </c>
      <c r="F83" s="27" t="s">
        <v>42</v>
      </c>
      <c r="G83" s="88">
        <v>220000</v>
      </c>
      <c r="H83" s="12"/>
    </row>
    <row r="84" spans="3:8" ht="27.75" customHeight="1" x14ac:dyDescent="0.25">
      <c r="C84" s="26">
        <v>45696</v>
      </c>
      <c r="D84" s="16" t="s">
        <v>9</v>
      </c>
      <c r="E84" s="27" t="s">
        <v>17</v>
      </c>
      <c r="F84" s="27" t="s">
        <v>44</v>
      </c>
      <c r="G84" s="88">
        <v>55000</v>
      </c>
      <c r="H84" s="12"/>
    </row>
    <row r="85" spans="3:8" ht="27.75" customHeight="1" x14ac:dyDescent="0.25">
      <c r="C85" s="26">
        <v>45697</v>
      </c>
      <c r="D85" s="16" t="s">
        <v>6</v>
      </c>
      <c r="E85" s="27" t="s">
        <v>5</v>
      </c>
      <c r="F85" s="27" t="s">
        <v>27</v>
      </c>
      <c r="G85" s="88">
        <v>47000</v>
      </c>
      <c r="H85" s="12"/>
    </row>
    <row r="86" spans="3:8" ht="27.75" customHeight="1" x14ac:dyDescent="0.25">
      <c r="C86" s="26">
        <v>45697</v>
      </c>
      <c r="D86" s="16" t="s">
        <v>8</v>
      </c>
      <c r="E86" s="27" t="s">
        <v>4</v>
      </c>
      <c r="F86" s="27" t="s">
        <v>28</v>
      </c>
      <c r="G86" s="88">
        <v>130000</v>
      </c>
      <c r="H86" s="12"/>
    </row>
    <row r="87" spans="3:8" ht="27.75" customHeight="1" x14ac:dyDescent="0.25">
      <c r="C87" s="26">
        <v>45698</v>
      </c>
      <c r="D87" s="16" t="s">
        <v>8</v>
      </c>
      <c r="E87" s="27" t="s">
        <v>13</v>
      </c>
      <c r="F87" s="27" t="s">
        <v>30</v>
      </c>
      <c r="G87" s="88">
        <v>55000</v>
      </c>
      <c r="H87" s="12"/>
    </row>
    <row r="88" spans="3:8" ht="27.75" customHeight="1" x14ac:dyDescent="0.25">
      <c r="C88" s="26">
        <v>45699</v>
      </c>
      <c r="D88" s="16" t="s">
        <v>9</v>
      </c>
      <c r="E88" s="27" t="s">
        <v>16</v>
      </c>
      <c r="F88" s="27" t="s">
        <v>43</v>
      </c>
      <c r="G88" s="88">
        <v>205000</v>
      </c>
      <c r="H88" s="12"/>
    </row>
    <row r="89" spans="3:8" ht="27.75" customHeight="1" x14ac:dyDescent="0.25">
      <c r="C89" s="26">
        <v>45699</v>
      </c>
      <c r="D89" s="16" t="s">
        <v>8</v>
      </c>
      <c r="E89" s="27" t="s">
        <v>4</v>
      </c>
      <c r="F89" s="27" t="s">
        <v>28</v>
      </c>
      <c r="G89" s="88">
        <v>140000</v>
      </c>
      <c r="H89" s="12"/>
    </row>
    <row r="90" spans="3:8" ht="27.75" customHeight="1" x14ac:dyDescent="0.25">
      <c r="C90" s="26">
        <v>45699</v>
      </c>
      <c r="D90" s="16" t="s">
        <v>9</v>
      </c>
      <c r="E90" s="27" t="s">
        <v>17</v>
      </c>
      <c r="F90" s="27" t="s">
        <v>44</v>
      </c>
      <c r="G90" s="88">
        <v>52000</v>
      </c>
      <c r="H90" s="12"/>
    </row>
    <row r="91" spans="3:8" ht="27.75" customHeight="1" x14ac:dyDescent="0.25">
      <c r="C91" s="26">
        <v>45700</v>
      </c>
      <c r="D91" s="16" t="s">
        <v>9</v>
      </c>
      <c r="E91" s="27" t="s">
        <v>12</v>
      </c>
      <c r="F91" s="27" t="s">
        <v>47</v>
      </c>
      <c r="G91" s="88">
        <v>91000</v>
      </c>
      <c r="H91" s="12"/>
    </row>
    <row r="92" spans="3:8" ht="27.75" customHeight="1" x14ac:dyDescent="0.25">
      <c r="C92" s="26">
        <v>45701</v>
      </c>
      <c r="D92" s="16" t="s">
        <v>8</v>
      </c>
      <c r="E92" s="27" t="s">
        <v>4</v>
      </c>
      <c r="F92" s="27" t="s">
        <v>28</v>
      </c>
      <c r="G92" s="88">
        <v>147000</v>
      </c>
      <c r="H92" s="12"/>
    </row>
    <row r="93" spans="3:8" ht="27.75" customHeight="1" x14ac:dyDescent="0.25">
      <c r="C93" s="26">
        <v>45701</v>
      </c>
      <c r="D93" s="16" t="s">
        <v>10</v>
      </c>
      <c r="E93" s="27" t="s">
        <v>19</v>
      </c>
      <c r="F93" s="27" t="s">
        <v>53</v>
      </c>
      <c r="G93" s="88">
        <v>465000</v>
      </c>
      <c r="H93" s="12"/>
    </row>
    <row r="94" spans="3:8" ht="27.75" customHeight="1" x14ac:dyDescent="0.25">
      <c r="C94" s="26">
        <v>45702</v>
      </c>
      <c r="D94" s="16" t="s">
        <v>9</v>
      </c>
      <c r="E94" s="27" t="s">
        <v>17</v>
      </c>
      <c r="F94" s="27" t="s">
        <v>44</v>
      </c>
      <c r="G94" s="88">
        <v>49000</v>
      </c>
      <c r="H94" s="12"/>
    </row>
    <row r="95" spans="3:8" ht="27.75" customHeight="1" x14ac:dyDescent="0.25">
      <c r="C95" s="26">
        <v>45703</v>
      </c>
      <c r="D95" s="16" t="s">
        <v>6</v>
      </c>
      <c r="E95" s="27" t="s">
        <v>5</v>
      </c>
      <c r="F95" s="27" t="s">
        <v>27</v>
      </c>
      <c r="G95" s="88">
        <v>55000</v>
      </c>
      <c r="H95" s="12"/>
    </row>
    <row r="96" spans="3:8" ht="27.75" customHeight="1" x14ac:dyDescent="0.25">
      <c r="C96" s="26">
        <v>45703</v>
      </c>
      <c r="D96" s="16" t="s">
        <v>8</v>
      </c>
      <c r="E96" s="27" t="s">
        <v>14</v>
      </c>
      <c r="F96" s="27" t="s">
        <v>40</v>
      </c>
      <c r="G96" s="88">
        <v>109000</v>
      </c>
      <c r="H96" s="12"/>
    </row>
    <row r="97" spans="3:8" ht="27.75" customHeight="1" x14ac:dyDescent="0.25">
      <c r="C97" s="26">
        <v>45704</v>
      </c>
      <c r="D97" s="16" t="s">
        <v>8</v>
      </c>
      <c r="E97" s="27" t="s">
        <v>4</v>
      </c>
      <c r="F97" s="27" t="s">
        <v>28</v>
      </c>
      <c r="G97" s="88">
        <v>165000</v>
      </c>
      <c r="H97" s="12"/>
    </row>
    <row r="98" spans="3:8" ht="27.75" customHeight="1" x14ac:dyDescent="0.25">
      <c r="C98" s="26">
        <v>45705</v>
      </c>
      <c r="D98" s="16" t="s">
        <v>8</v>
      </c>
      <c r="E98" s="27" t="s">
        <v>4</v>
      </c>
      <c r="F98" s="27" t="s">
        <v>28</v>
      </c>
      <c r="G98" s="88">
        <v>170000</v>
      </c>
      <c r="H98" s="12"/>
    </row>
    <row r="99" spans="3:8" ht="27.75" customHeight="1" x14ac:dyDescent="0.25">
      <c r="C99" s="26">
        <v>45706</v>
      </c>
      <c r="D99" s="16" t="s">
        <v>9</v>
      </c>
      <c r="E99" s="27" t="s">
        <v>17</v>
      </c>
      <c r="F99" s="27" t="s">
        <v>44</v>
      </c>
      <c r="G99" s="88">
        <v>55000</v>
      </c>
      <c r="H99" s="12"/>
    </row>
    <row r="100" spans="3:8" ht="27.75" customHeight="1" x14ac:dyDescent="0.25">
      <c r="C100" s="26">
        <v>45707</v>
      </c>
      <c r="D100" s="16" t="s">
        <v>8</v>
      </c>
      <c r="E100" s="27" t="s">
        <v>4</v>
      </c>
      <c r="F100" s="27" t="s">
        <v>28</v>
      </c>
      <c r="G100" s="88">
        <v>88000</v>
      </c>
      <c r="H100" s="12"/>
    </row>
    <row r="101" spans="3:8" ht="27.75" customHeight="1" x14ac:dyDescent="0.25">
      <c r="C101" s="26">
        <v>45708</v>
      </c>
      <c r="D101" s="16" t="s">
        <v>6</v>
      </c>
      <c r="E101" s="27" t="s">
        <v>5</v>
      </c>
      <c r="F101" s="27" t="s">
        <v>27</v>
      </c>
      <c r="G101" s="88">
        <v>48000</v>
      </c>
      <c r="H101" s="12"/>
    </row>
    <row r="102" spans="3:8" ht="27.75" customHeight="1" x14ac:dyDescent="0.25">
      <c r="C102" s="26">
        <v>45708</v>
      </c>
      <c r="D102" s="16" t="s">
        <v>8</v>
      </c>
      <c r="E102" s="27" t="s">
        <v>13</v>
      </c>
      <c r="F102" s="27" t="s">
        <v>39</v>
      </c>
      <c r="G102" s="88">
        <v>67000</v>
      </c>
      <c r="H102" s="12"/>
    </row>
    <row r="103" spans="3:8" ht="27.75" customHeight="1" x14ac:dyDescent="0.25">
      <c r="C103" s="26">
        <v>45708</v>
      </c>
      <c r="D103" s="16" t="s">
        <v>9</v>
      </c>
      <c r="E103" s="27" t="s">
        <v>17</v>
      </c>
      <c r="F103" s="27" t="s">
        <v>44</v>
      </c>
      <c r="G103" s="88">
        <v>51000</v>
      </c>
      <c r="H103" s="12"/>
    </row>
    <row r="104" spans="3:8" ht="27.75" customHeight="1" x14ac:dyDescent="0.25">
      <c r="C104" s="26">
        <v>45709</v>
      </c>
      <c r="D104" s="16" t="s">
        <v>8</v>
      </c>
      <c r="E104" s="27" t="s">
        <v>4</v>
      </c>
      <c r="F104" s="27" t="s">
        <v>28</v>
      </c>
      <c r="G104" s="88">
        <v>149000</v>
      </c>
      <c r="H104" s="12"/>
    </row>
    <row r="105" spans="3:8" ht="27.75" customHeight="1" x14ac:dyDescent="0.25">
      <c r="C105" s="26">
        <v>45710</v>
      </c>
      <c r="D105" s="16" t="s">
        <v>8</v>
      </c>
      <c r="E105" s="27" t="s">
        <v>4</v>
      </c>
      <c r="F105" s="27" t="s">
        <v>28</v>
      </c>
      <c r="G105" s="88">
        <v>133000</v>
      </c>
      <c r="H105" s="12"/>
    </row>
    <row r="106" spans="3:8" ht="27.75" customHeight="1" x14ac:dyDescent="0.25">
      <c r="C106" s="26">
        <v>45711</v>
      </c>
      <c r="D106" s="16" t="s">
        <v>9</v>
      </c>
      <c r="E106" s="27" t="s">
        <v>12</v>
      </c>
      <c r="F106" s="27" t="s">
        <v>46</v>
      </c>
      <c r="G106" s="88">
        <v>116000</v>
      </c>
      <c r="H106" s="12"/>
    </row>
    <row r="107" spans="3:8" ht="27.75" customHeight="1" x14ac:dyDescent="0.25">
      <c r="C107" s="26">
        <v>45711</v>
      </c>
      <c r="D107" s="16" t="s">
        <v>10</v>
      </c>
      <c r="E107" s="27" t="s">
        <v>18</v>
      </c>
      <c r="F107" s="27" t="s">
        <v>54</v>
      </c>
      <c r="G107" s="88">
        <v>265000</v>
      </c>
      <c r="H107" s="12"/>
    </row>
    <row r="108" spans="3:8" ht="27.75" customHeight="1" x14ac:dyDescent="0.25">
      <c r="C108" s="26">
        <v>45712</v>
      </c>
      <c r="D108" s="16" t="s">
        <v>6</v>
      </c>
      <c r="E108" s="27" t="s">
        <v>5</v>
      </c>
      <c r="F108" s="27" t="s">
        <v>27</v>
      </c>
      <c r="G108" s="88">
        <v>48000</v>
      </c>
      <c r="H108" s="12"/>
    </row>
    <row r="109" spans="3:8" ht="27.75" customHeight="1" x14ac:dyDescent="0.25">
      <c r="C109" s="26">
        <v>45713</v>
      </c>
      <c r="D109" s="16" t="s">
        <v>8</v>
      </c>
      <c r="E109" s="27" t="s">
        <v>13</v>
      </c>
      <c r="F109" s="27" t="s">
        <v>30</v>
      </c>
      <c r="G109" s="88">
        <v>53000</v>
      </c>
      <c r="H109" s="12"/>
    </row>
    <row r="110" spans="3:8" ht="27.75" customHeight="1" x14ac:dyDescent="0.25">
      <c r="C110" s="26">
        <v>45713</v>
      </c>
      <c r="D110" s="16" t="s">
        <v>8</v>
      </c>
      <c r="E110" s="27" t="s">
        <v>4</v>
      </c>
      <c r="F110" s="27" t="s">
        <v>28</v>
      </c>
      <c r="G110" s="88">
        <v>115000</v>
      </c>
      <c r="H110" s="12"/>
    </row>
    <row r="111" spans="3:8" ht="27.75" customHeight="1" x14ac:dyDescent="0.25">
      <c r="C111" s="26">
        <v>45715</v>
      </c>
      <c r="D111" s="16" t="s">
        <v>8</v>
      </c>
      <c r="E111" s="27" t="s">
        <v>4</v>
      </c>
      <c r="F111" s="27" t="s">
        <v>28</v>
      </c>
      <c r="G111" s="88">
        <v>109000</v>
      </c>
      <c r="H111" s="12"/>
    </row>
    <row r="112" spans="3:8" ht="27.75" customHeight="1" x14ac:dyDescent="0.25">
      <c r="C112" s="26">
        <v>45716</v>
      </c>
      <c r="D112" s="16" t="s">
        <v>6</v>
      </c>
      <c r="E112" s="27" t="s">
        <v>5</v>
      </c>
      <c r="F112" s="27" t="s">
        <v>27</v>
      </c>
      <c r="G112" s="88">
        <v>55000</v>
      </c>
      <c r="H112" s="12"/>
    </row>
    <row r="113" spans="3:8" ht="27.75" customHeight="1" x14ac:dyDescent="0.25">
      <c r="C113" s="26">
        <v>45717</v>
      </c>
      <c r="D113" s="16" t="s">
        <v>8</v>
      </c>
      <c r="E113" s="27" t="s">
        <v>4</v>
      </c>
      <c r="F113" s="27" t="s">
        <v>28</v>
      </c>
      <c r="G113" s="88">
        <v>126000</v>
      </c>
      <c r="H113" s="12"/>
    </row>
    <row r="114" spans="3:8" ht="27.75" customHeight="1" x14ac:dyDescent="0.25">
      <c r="C114" s="26">
        <v>45717</v>
      </c>
      <c r="D114" s="16" t="s">
        <v>6</v>
      </c>
      <c r="E114" s="27" t="s">
        <v>5</v>
      </c>
      <c r="F114" s="27" t="s">
        <v>27</v>
      </c>
      <c r="G114" s="88">
        <v>55000</v>
      </c>
      <c r="H114" s="12"/>
    </row>
    <row r="115" spans="3:8" ht="27.75" customHeight="1" x14ac:dyDescent="0.25">
      <c r="C115" s="26">
        <v>45717</v>
      </c>
      <c r="D115" s="16" t="s">
        <v>6</v>
      </c>
      <c r="E115" s="27" t="s">
        <v>2</v>
      </c>
      <c r="F115" s="27" t="s">
        <v>2</v>
      </c>
      <c r="G115" s="88">
        <v>1600000</v>
      </c>
    </row>
    <row r="116" spans="3:8" ht="27.75" customHeight="1" x14ac:dyDescent="0.25">
      <c r="C116" s="26">
        <v>45717</v>
      </c>
      <c r="D116" s="16" t="s">
        <v>6</v>
      </c>
      <c r="E116" s="27" t="s">
        <v>3</v>
      </c>
      <c r="F116" s="27" t="s">
        <v>36</v>
      </c>
      <c r="G116" s="88">
        <v>30000</v>
      </c>
    </row>
    <row r="117" spans="3:8" ht="27.75" customHeight="1" x14ac:dyDescent="0.25">
      <c r="C117" s="26">
        <v>45718</v>
      </c>
      <c r="D117" s="16" t="s">
        <v>6</v>
      </c>
      <c r="E117" s="27" t="s">
        <v>3</v>
      </c>
      <c r="F117" s="27" t="s">
        <v>33</v>
      </c>
      <c r="G117" s="88">
        <v>441000</v>
      </c>
    </row>
    <row r="118" spans="3:8" ht="27.75" customHeight="1" x14ac:dyDescent="0.25">
      <c r="C118" s="26">
        <v>45718</v>
      </c>
      <c r="D118" s="16" t="s">
        <v>6</v>
      </c>
      <c r="E118" s="27" t="s">
        <v>3</v>
      </c>
      <c r="F118" s="27" t="s">
        <v>34</v>
      </c>
      <c r="G118" s="88">
        <v>111000</v>
      </c>
    </row>
    <row r="119" spans="3:8" ht="27.75" customHeight="1" x14ac:dyDescent="0.25">
      <c r="C119" s="26">
        <v>45718</v>
      </c>
      <c r="D119" s="16" t="s">
        <v>8</v>
      </c>
      <c r="E119" s="27" t="s">
        <v>14</v>
      </c>
      <c r="F119" s="27" t="s">
        <v>37</v>
      </c>
      <c r="G119" s="88">
        <v>368000</v>
      </c>
    </row>
    <row r="120" spans="3:8" ht="27.75" customHeight="1" x14ac:dyDescent="0.25">
      <c r="C120" s="26">
        <v>45718</v>
      </c>
      <c r="D120" s="16" t="s">
        <v>9</v>
      </c>
      <c r="E120" s="27" t="s">
        <v>17</v>
      </c>
      <c r="F120" s="27" t="s">
        <v>44</v>
      </c>
      <c r="G120" s="88">
        <v>55000</v>
      </c>
    </row>
    <row r="121" spans="3:8" ht="27.75" customHeight="1" x14ac:dyDescent="0.25">
      <c r="C121" s="26">
        <v>45719</v>
      </c>
      <c r="D121" s="16" t="s">
        <v>6</v>
      </c>
      <c r="E121" s="27" t="s">
        <v>3</v>
      </c>
      <c r="F121" s="27" t="s">
        <v>35</v>
      </c>
      <c r="G121" s="88">
        <v>211000</v>
      </c>
    </row>
    <row r="122" spans="3:8" ht="27.75" customHeight="1" x14ac:dyDescent="0.25">
      <c r="C122" s="26">
        <v>45719</v>
      </c>
      <c r="D122" s="16" t="s">
        <v>6</v>
      </c>
      <c r="E122" s="27" t="s">
        <v>5</v>
      </c>
      <c r="F122" s="27" t="s">
        <v>27</v>
      </c>
      <c r="G122" s="88">
        <v>58000</v>
      </c>
    </row>
    <row r="123" spans="3:8" ht="27.75" customHeight="1" x14ac:dyDescent="0.25">
      <c r="C123" s="26">
        <v>45719</v>
      </c>
      <c r="D123" s="16" t="s">
        <v>8</v>
      </c>
      <c r="E123" s="27" t="s">
        <v>4</v>
      </c>
      <c r="F123" s="27" t="s">
        <v>28</v>
      </c>
      <c r="G123" s="88">
        <v>188000</v>
      </c>
    </row>
    <row r="124" spans="3:8" ht="27.75" customHeight="1" x14ac:dyDescent="0.25">
      <c r="C124" s="26">
        <v>45719</v>
      </c>
      <c r="D124" s="16" t="s">
        <v>9</v>
      </c>
      <c r="E124" s="27" t="s">
        <v>12</v>
      </c>
      <c r="F124" s="27" t="s">
        <v>45</v>
      </c>
      <c r="G124" s="88">
        <v>338000</v>
      </c>
    </row>
    <row r="125" spans="3:8" ht="27.75" customHeight="1" x14ac:dyDescent="0.25">
      <c r="C125" s="26">
        <v>45719</v>
      </c>
      <c r="D125" s="16" t="s">
        <v>11</v>
      </c>
      <c r="E125" s="27" t="s">
        <v>20</v>
      </c>
      <c r="F125" s="27" t="s">
        <v>29</v>
      </c>
      <c r="G125" s="88">
        <v>500000</v>
      </c>
    </row>
    <row r="126" spans="3:8" ht="27.75" customHeight="1" x14ac:dyDescent="0.25">
      <c r="C126" s="26">
        <v>45720</v>
      </c>
      <c r="D126" s="16" t="s">
        <v>8</v>
      </c>
      <c r="E126" s="27" t="s">
        <v>4</v>
      </c>
      <c r="F126" s="27" t="s">
        <v>28</v>
      </c>
      <c r="G126" s="88">
        <v>110000</v>
      </c>
    </row>
    <row r="127" spans="3:8" ht="27.75" customHeight="1" x14ac:dyDescent="0.25">
      <c r="C127" s="26">
        <v>45720</v>
      </c>
      <c r="D127" s="16" t="s">
        <v>6</v>
      </c>
      <c r="E127" s="27" t="s">
        <v>5</v>
      </c>
      <c r="F127" s="27" t="s">
        <v>27</v>
      </c>
      <c r="G127" s="88">
        <v>48000</v>
      </c>
    </row>
    <row r="128" spans="3:8" ht="27.75" customHeight="1" x14ac:dyDescent="0.25">
      <c r="C128" s="26">
        <v>45721</v>
      </c>
      <c r="D128" s="16" t="s">
        <v>8</v>
      </c>
      <c r="E128" s="27" t="s">
        <v>13</v>
      </c>
      <c r="F128" s="27" t="s">
        <v>38</v>
      </c>
      <c r="G128" s="88">
        <v>104000</v>
      </c>
    </row>
    <row r="129" spans="3:7" ht="27.75" customHeight="1" x14ac:dyDescent="0.25">
      <c r="C129" s="26">
        <v>45721</v>
      </c>
      <c r="D129" s="16" t="s">
        <v>8</v>
      </c>
      <c r="E129" s="27" t="s">
        <v>4</v>
      </c>
      <c r="F129" s="27" t="s">
        <v>28</v>
      </c>
      <c r="G129" s="88">
        <v>85000</v>
      </c>
    </row>
    <row r="130" spans="3:7" ht="27.75" customHeight="1" x14ac:dyDescent="0.25">
      <c r="C130" s="26">
        <v>45721</v>
      </c>
      <c r="D130" s="16" t="s">
        <v>9</v>
      </c>
      <c r="E130" s="27" t="s">
        <v>17</v>
      </c>
      <c r="F130" s="27" t="s">
        <v>44</v>
      </c>
      <c r="G130" s="88">
        <v>77000</v>
      </c>
    </row>
    <row r="131" spans="3:7" ht="27.75" customHeight="1" x14ac:dyDescent="0.25">
      <c r="C131" s="26">
        <v>45721</v>
      </c>
      <c r="D131" s="16" t="s">
        <v>9</v>
      </c>
      <c r="E131" s="27" t="s">
        <v>15</v>
      </c>
      <c r="F131" s="27" t="s">
        <v>41</v>
      </c>
      <c r="G131" s="88">
        <v>500000</v>
      </c>
    </row>
    <row r="132" spans="3:7" ht="27.75" customHeight="1" x14ac:dyDescent="0.25">
      <c r="C132" s="26">
        <v>45722</v>
      </c>
      <c r="D132" s="16" t="s">
        <v>9</v>
      </c>
      <c r="E132" s="27" t="s">
        <v>12</v>
      </c>
      <c r="F132" s="27" t="s">
        <v>52</v>
      </c>
      <c r="G132" s="88">
        <v>54000</v>
      </c>
    </row>
    <row r="133" spans="3:7" ht="27.75" customHeight="1" x14ac:dyDescent="0.25">
      <c r="C133" s="26">
        <v>45722</v>
      </c>
      <c r="D133" s="16" t="s">
        <v>11</v>
      </c>
      <c r="E133" s="27" t="s">
        <v>21</v>
      </c>
      <c r="F133" s="27" t="s">
        <v>48</v>
      </c>
      <c r="G133" s="88">
        <v>1000000</v>
      </c>
    </row>
    <row r="134" spans="3:7" ht="27.75" customHeight="1" x14ac:dyDescent="0.25">
      <c r="C134" s="26">
        <v>45723</v>
      </c>
      <c r="D134" s="16" t="s">
        <v>6</v>
      </c>
      <c r="E134" s="27" t="s">
        <v>5</v>
      </c>
      <c r="F134" s="27" t="s">
        <v>27</v>
      </c>
      <c r="G134" s="88">
        <v>54000</v>
      </c>
    </row>
    <row r="135" spans="3:7" ht="27.75" customHeight="1" x14ac:dyDescent="0.25">
      <c r="C135" s="26">
        <v>45723</v>
      </c>
      <c r="D135" s="16" t="s">
        <v>6</v>
      </c>
      <c r="E135" s="27" t="s">
        <v>5</v>
      </c>
      <c r="F135" s="27" t="s">
        <v>50</v>
      </c>
      <c r="G135" s="88">
        <v>104000</v>
      </c>
    </row>
    <row r="136" spans="3:7" ht="27.75" customHeight="1" x14ac:dyDescent="0.25">
      <c r="C136" s="26">
        <v>45723</v>
      </c>
      <c r="D136" s="16" t="s">
        <v>6</v>
      </c>
      <c r="E136" s="27" t="s">
        <v>5</v>
      </c>
      <c r="F136" s="27" t="s">
        <v>51</v>
      </c>
      <c r="G136" s="88">
        <v>21000</v>
      </c>
    </row>
    <row r="137" spans="3:7" ht="27.75" customHeight="1" x14ac:dyDescent="0.25">
      <c r="C137" s="26">
        <v>45723</v>
      </c>
      <c r="D137" s="16" t="s">
        <v>8</v>
      </c>
      <c r="E137" s="27" t="s">
        <v>4</v>
      </c>
      <c r="F137" s="27" t="s">
        <v>28</v>
      </c>
      <c r="G137" s="88">
        <v>128000</v>
      </c>
    </row>
    <row r="138" spans="3:7" ht="27.75" customHeight="1" x14ac:dyDescent="0.25">
      <c r="C138" s="26">
        <v>45723</v>
      </c>
      <c r="D138" s="16" t="s">
        <v>9</v>
      </c>
      <c r="E138" s="27" t="s">
        <v>16</v>
      </c>
      <c r="F138" s="27" t="s">
        <v>42</v>
      </c>
      <c r="G138" s="88">
        <v>25000</v>
      </c>
    </row>
    <row r="139" spans="3:7" ht="27.75" customHeight="1" x14ac:dyDescent="0.25">
      <c r="C139" s="26">
        <v>45724</v>
      </c>
      <c r="D139" s="16" t="s">
        <v>9</v>
      </c>
      <c r="E139" s="27" t="s">
        <v>17</v>
      </c>
      <c r="F139" s="27" t="s">
        <v>44</v>
      </c>
      <c r="G139" s="88">
        <v>54000</v>
      </c>
    </row>
    <row r="140" spans="3:7" ht="27.75" customHeight="1" x14ac:dyDescent="0.25">
      <c r="C140" s="26">
        <v>45725</v>
      </c>
      <c r="D140" s="16" t="s">
        <v>6</v>
      </c>
      <c r="E140" s="27" t="s">
        <v>5</v>
      </c>
      <c r="F140" s="27" t="s">
        <v>27</v>
      </c>
      <c r="G140" s="88">
        <v>52000</v>
      </c>
    </row>
    <row r="141" spans="3:7" ht="27.75" customHeight="1" x14ac:dyDescent="0.25">
      <c r="C141" s="26">
        <v>45725</v>
      </c>
      <c r="D141" s="16" t="s">
        <v>8</v>
      </c>
      <c r="E141" s="27" t="s">
        <v>4</v>
      </c>
      <c r="F141" s="27" t="s">
        <v>28</v>
      </c>
      <c r="G141" s="88">
        <v>142000</v>
      </c>
    </row>
    <row r="142" spans="3:7" ht="27.75" customHeight="1" x14ac:dyDescent="0.25">
      <c r="C142" s="26">
        <v>45726</v>
      </c>
      <c r="D142" s="16" t="s">
        <v>8</v>
      </c>
      <c r="E142" s="27" t="s">
        <v>13</v>
      </c>
      <c r="F142" s="27" t="s">
        <v>30</v>
      </c>
      <c r="G142" s="88">
        <v>55000</v>
      </c>
    </row>
    <row r="143" spans="3:7" ht="27.75" customHeight="1" x14ac:dyDescent="0.25">
      <c r="C143" s="26">
        <v>45727</v>
      </c>
      <c r="D143" s="16" t="s">
        <v>9</v>
      </c>
      <c r="E143" s="27" t="s">
        <v>16</v>
      </c>
      <c r="F143" s="27" t="s">
        <v>43</v>
      </c>
      <c r="G143" s="88">
        <v>220000</v>
      </c>
    </row>
    <row r="144" spans="3:7" ht="27.75" customHeight="1" x14ac:dyDescent="0.25">
      <c r="C144" s="26">
        <v>45727</v>
      </c>
      <c r="D144" s="16" t="s">
        <v>8</v>
      </c>
      <c r="E144" s="27" t="s">
        <v>4</v>
      </c>
      <c r="F144" s="27" t="s">
        <v>28</v>
      </c>
      <c r="G144" s="88">
        <v>139000</v>
      </c>
    </row>
    <row r="145" spans="3:7" ht="27.75" customHeight="1" x14ac:dyDescent="0.25">
      <c r="C145" s="26">
        <v>45727</v>
      </c>
      <c r="D145" s="16" t="s">
        <v>9</v>
      </c>
      <c r="E145" s="27" t="s">
        <v>17</v>
      </c>
      <c r="F145" s="27" t="s">
        <v>44</v>
      </c>
      <c r="G145" s="88">
        <v>151000</v>
      </c>
    </row>
    <row r="146" spans="3:7" ht="27.75" customHeight="1" x14ac:dyDescent="0.25">
      <c r="C146" s="26">
        <v>45728</v>
      </c>
      <c r="D146" s="16" t="s">
        <v>9</v>
      </c>
      <c r="E146" s="27" t="s">
        <v>12</v>
      </c>
      <c r="F146" s="27" t="s">
        <v>47</v>
      </c>
      <c r="G146" s="88">
        <v>195000</v>
      </c>
    </row>
    <row r="147" spans="3:7" ht="27.75" customHeight="1" x14ac:dyDescent="0.25">
      <c r="C147" s="26">
        <v>45729</v>
      </c>
      <c r="D147" s="16" t="s">
        <v>8</v>
      </c>
      <c r="E147" s="27" t="s">
        <v>4</v>
      </c>
      <c r="F147" s="27" t="s">
        <v>28</v>
      </c>
      <c r="G147" s="88">
        <v>160000</v>
      </c>
    </row>
    <row r="148" spans="3:7" ht="27.75" customHeight="1" x14ac:dyDescent="0.25">
      <c r="C148" s="26">
        <v>45729</v>
      </c>
      <c r="D148" s="16" t="s">
        <v>10</v>
      </c>
      <c r="E148" s="27" t="s">
        <v>19</v>
      </c>
      <c r="F148" s="27" t="s">
        <v>53</v>
      </c>
      <c r="G148" s="88">
        <v>500000</v>
      </c>
    </row>
    <row r="149" spans="3:7" ht="27.75" customHeight="1" x14ac:dyDescent="0.25">
      <c r="C149" s="26">
        <v>45730</v>
      </c>
      <c r="D149" s="16" t="s">
        <v>9</v>
      </c>
      <c r="E149" s="27" t="s">
        <v>17</v>
      </c>
      <c r="F149" s="27" t="s">
        <v>44</v>
      </c>
      <c r="G149" s="88">
        <v>54000</v>
      </c>
    </row>
    <row r="150" spans="3:7" ht="27.75" customHeight="1" x14ac:dyDescent="0.25">
      <c r="C150" s="26">
        <v>45731</v>
      </c>
      <c r="D150" s="16" t="s">
        <v>6</v>
      </c>
      <c r="E150" s="27" t="s">
        <v>5</v>
      </c>
      <c r="F150" s="27" t="s">
        <v>27</v>
      </c>
      <c r="G150" s="88">
        <v>56000</v>
      </c>
    </row>
    <row r="151" spans="3:7" ht="27.75" customHeight="1" x14ac:dyDescent="0.25">
      <c r="C151" s="26">
        <v>45731</v>
      </c>
      <c r="D151" s="16" t="s">
        <v>8</v>
      </c>
      <c r="E151" s="27" t="s">
        <v>14</v>
      </c>
      <c r="F151" s="27" t="s">
        <v>40</v>
      </c>
      <c r="G151" s="88">
        <v>105000</v>
      </c>
    </row>
    <row r="152" spans="3:7" ht="27.75" customHeight="1" x14ac:dyDescent="0.25">
      <c r="C152" s="26">
        <v>45732</v>
      </c>
      <c r="D152" s="16" t="s">
        <v>8</v>
      </c>
      <c r="E152" s="27" t="s">
        <v>4</v>
      </c>
      <c r="F152" s="27" t="s">
        <v>28</v>
      </c>
      <c r="G152" s="88">
        <v>170000</v>
      </c>
    </row>
    <row r="153" spans="3:7" ht="27.75" customHeight="1" x14ac:dyDescent="0.25">
      <c r="C153" s="26">
        <v>45733</v>
      </c>
      <c r="D153" s="16" t="s">
        <v>8</v>
      </c>
      <c r="E153" s="27" t="s">
        <v>4</v>
      </c>
      <c r="F153" s="27" t="s">
        <v>28</v>
      </c>
      <c r="G153" s="88">
        <v>158000</v>
      </c>
    </row>
    <row r="154" spans="3:7" ht="27.75" customHeight="1" x14ac:dyDescent="0.25">
      <c r="C154" s="26">
        <v>45734</v>
      </c>
      <c r="D154" s="16" t="s">
        <v>9</v>
      </c>
      <c r="E154" s="27" t="s">
        <v>17</v>
      </c>
      <c r="F154" s="27" t="s">
        <v>44</v>
      </c>
      <c r="G154" s="88">
        <v>58000</v>
      </c>
    </row>
    <row r="155" spans="3:7" ht="27.75" customHeight="1" x14ac:dyDescent="0.25">
      <c r="C155" s="26">
        <v>45735</v>
      </c>
      <c r="D155" s="16" t="s">
        <v>8</v>
      </c>
      <c r="E155" s="27" t="s">
        <v>4</v>
      </c>
      <c r="F155" s="27" t="s">
        <v>28</v>
      </c>
      <c r="G155" s="88">
        <v>94000</v>
      </c>
    </row>
    <row r="156" spans="3:7" ht="27.75" customHeight="1" x14ac:dyDescent="0.25">
      <c r="C156" s="26">
        <v>45736</v>
      </c>
      <c r="D156" s="16" t="s">
        <v>6</v>
      </c>
      <c r="E156" s="27" t="s">
        <v>5</v>
      </c>
      <c r="F156" s="27" t="s">
        <v>27</v>
      </c>
      <c r="G156" s="88">
        <v>151000</v>
      </c>
    </row>
    <row r="157" spans="3:7" ht="27.75" customHeight="1" x14ac:dyDescent="0.25">
      <c r="C157" s="26">
        <v>45736</v>
      </c>
      <c r="D157" s="16" t="s">
        <v>8</v>
      </c>
      <c r="E157" s="27" t="s">
        <v>13</v>
      </c>
      <c r="F157" s="27" t="s">
        <v>39</v>
      </c>
      <c r="G157" s="88">
        <v>66000</v>
      </c>
    </row>
    <row r="158" spans="3:7" ht="27.75" customHeight="1" x14ac:dyDescent="0.25">
      <c r="C158" s="26">
        <v>45736</v>
      </c>
      <c r="D158" s="16" t="s">
        <v>9</v>
      </c>
      <c r="E158" s="27" t="s">
        <v>17</v>
      </c>
      <c r="F158" s="27" t="s">
        <v>44</v>
      </c>
      <c r="G158" s="88">
        <v>153000</v>
      </c>
    </row>
    <row r="159" spans="3:7" ht="27.75" customHeight="1" x14ac:dyDescent="0.25">
      <c r="C159" s="26">
        <v>45737</v>
      </c>
      <c r="D159" s="16" t="s">
        <v>8</v>
      </c>
      <c r="E159" s="27" t="s">
        <v>4</v>
      </c>
      <c r="F159" s="27" t="s">
        <v>28</v>
      </c>
      <c r="G159" s="88">
        <v>146000</v>
      </c>
    </row>
    <row r="160" spans="3:7" ht="27.75" customHeight="1" x14ac:dyDescent="0.25">
      <c r="C160" s="26">
        <v>45738</v>
      </c>
      <c r="D160" s="16" t="s">
        <v>8</v>
      </c>
      <c r="E160" s="27" t="s">
        <v>4</v>
      </c>
      <c r="F160" s="27" t="s">
        <v>28</v>
      </c>
      <c r="G160" s="88">
        <v>140000</v>
      </c>
    </row>
    <row r="161" spans="3:7" ht="27.75" customHeight="1" x14ac:dyDescent="0.25">
      <c r="C161" s="26">
        <v>45739</v>
      </c>
      <c r="D161" s="16" t="s">
        <v>9</v>
      </c>
      <c r="E161" s="27" t="s">
        <v>12</v>
      </c>
      <c r="F161" s="27" t="s">
        <v>46</v>
      </c>
      <c r="G161" s="88">
        <v>318000</v>
      </c>
    </row>
    <row r="162" spans="3:7" ht="27.75" customHeight="1" x14ac:dyDescent="0.25">
      <c r="C162" s="26">
        <v>45739</v>
      </c>
      <c r="D162" s="16" t="s">
        <v>10</v>
      </c>
      <c r="E162" s="27" t="s">
        <v>19</v>
      </c>
      <c r="F162" s="27" t="s">
        <v>53</v>
      </c>
      <c r="G162" s="88">
        <v>500000</v>
      </c>
    </row>
    <row r="163" spans="3:7" ht="27.75" customHeight="1" x14ac:dyDescent="0.25">
      <c r="C163" s="26">
        <v>45740</v>
      </c>
      <c r="D163" s="16" t="s">
        <v>6</v>
      </c>
      <c r="E163" s="27" t="s">
        <v>5</v>
      </c>
      <c r="F163" s="27" t="s">
        <v>27</v>
      </c>
      <c r="G163" s="88">
        <v>47000</v>
      </c>
    </row>
    <row r="164" spans="3:7" ht="27.75" customHeight="1" x14ac:dyDescent="0.25">
      <c r="C164" s="26">
        <v>45741</v>
      </c>
      <c r="D164" s="16" t="s">
        <v>8</v>
      </c>
      <c r="E164" s="27" t="s">
        <v>13</v>
      </c>
      <c r="F164" s="27" t="s">
        <v>30</v>
      </c>
      <c r="G164" s="88">
        <v>56000</v>
      </c>
    </row>
    <row r="165" spans="3:7" ht="27.75" customHeight="1" x14ac:dyDescent="0.25">
      <c r="C165" s="26">
        <v>45741</v>
      </c>
      <c r="D165" s="16" t="s">
        <v>8</v>
      </c>
      <c r="E165" s="27" t="s">
        <v>4</v>
      </c>
      <c r="F165" s="27" t="s">
        <v>28</v>
      </c>
      <c r="G165" s="88">
        <v>125000</v>
      </c>
    </row>
    <row r="166" spans="3:7" ht="27.75" customHeight="1" x14ac:dyDescent="0.25">
      <c r="C166" s="26">
        <v>45743</v>
      </c>
      <c r="D166" s="16" t="s">
        <v>8</v>
      </c>
      <c r="E166" s="27" t="s">
        <v>4</v>
      </c>
      <c r="F166" s="27" t="s">
        <v>28</v>
      </c>
      <c r="G166" s="88">
        <v>118000</v>
      </c>
    </row>
    <row r="167" spans="3:7" ht="27.75" customHeight="1" x14ac:dyDescent="0.25">
      <c r="C167" s="26">
        <v>45744</v>
      </c>
      <c r="D167" s="16" t="s">
        <v>6</v>
      </c>
      <c r="E167" s="27" t="s">
        <v>5</v>
      </c>
      <c r="F167" s="27" t="s">
        <v>27</v>
      </c>
      <c r="G167" s="88">
        <v>58000</v>
      </c>
    </row>
    <row r="168" spans="3:7" ht="27.75" customHeight="1" x14ac:dyDescent="0.25">
      <c r="C168" s="26">
        <v>45745</v>
      </c>
      <c r="D168" s="16" t="s">
        <v>8</v>
      </c>
      <c r="E168" s="27" t="s">
        <v>4</v>
      </c>
      <c r="F168" s="27" t="s">
        <v>28</v>
      </c>
      <c r="G168" s="88">
        <v>127000</v>
      </c>
    </row>
    <row r="169" spans="3:7" ht="27.75" customHeight="1" x14ac:dyDescent="0.25">
      <c r="C169" s="26">
        <v>45745</v>
      </c>
      <c r="D169" s="16" t="s">
        <v>6</v>
      </c>
      <c r="E169" s="27" t="s">
        <v>5</v>
      </c>
      <c r="F169" s="27" t="s">
        <v>27</v>
      </c>
      <c r="G169" s="88">
        <v>56000</v>
      </c>
    </row>
    <row r="170" spans="3:7" ht="27.75" customHeight="1" x14ac:dyDescent="0.25">
      <c r="C170" s="26">
        <v>45746</v>
      </c>
      <c r="D170" s="16" t="s">
        <v>8</v>
      </c>
      <c r="E170" s="27" t="s">
        <v>4</v>
      </c>
      <c r="F170" s="27" t="s">
        <v>28</v>
      </c>
      <c r="G170" s="88">
        <v>118000</v>
      </c>
    </row>
    <row r="171" spans="3:7" ht="27.75" customHeight="1" x14ac:dyDescent="0.25">
      <c r="C171" s="26">
        <v>45747</v>
      </c>
      <c r="D171" s="16" t="s">
        <v>6</v>
      </c>
      <c r="E171" s="27" t="s">
        <v>5</v>
      </c>
      <c r="F171" s="27" t="s">
        <v>27</v>
      </c>
      <c r="G171" s="88">
        <v>58000</v>
      </c>
    </row>
    <row r="172" spans="3:7" ht="27.75" customHeight="1" x14ac:dyDescent="0.25">
      <c r="C172" s="26">
        <v>45748</v>
      </c>
      <c r="D172" s="16" t="s">
        <v>6</v>
      </c>
      <c r="E172" s="27" t="s">
        <v>2</v>
      </c>
      <c r="F172" s="27" t="s">
        <v>2</v>
      </c>
      <c r="G172" s="88">
        <v>1600000</v>
      </c>
    </row>
    <row r="173" spans="3:7" ht="27.75" customHeight="1" x14ac:dyDescent="0.25">
      <c r="C173" s="26">
        <v>45748</v>
      </c>
      <c r="D173" s="16" t="s">
        <v>6</v>
      </c>
      <c r="E173" s="27" t="s">
        <v>3</v>
      </c>
      <c r="F173" s="27" t="s">
        <v>36</v>
      </c>
      <c r="G173" s="88">
        <v>32000</v>
      </c>
    </row>
    <row r="174" spans="3:7" ht="27.75" customHeight="1" x14ac:dyDescent="0.25">
      <c r="C174" s="26">
        <v>45749</v>
      </c>
      <c r="D174" s="16" t="s">
        <v>6</v>
      </c>
      <c r="E174" s="27" t="s">
        <v>3</v>
      </c>
      <c r="F174" s="27" t="s">
        <v>33</v>
      </c>
      <c r="G174" s="88">
        <v>445000</v>
      </c>
    </row>
    <row r="175" spans="3:7" ht="27.75" customHeight="1" x14ac:dyDescent="0.25">
      <c r="C175" s="26">
        <v>45749</v>
      </c>
      <c r="D175" s="16" t="s">
        <v>6</v>
      </c>
      <c r="E175" s="27" t="s">
        <v>3</v>
      </c>
      <c r="F175" s="27" t="s">
        <v>34</v>
      </c>
      <c r="G175" s="88">
        <v>105000</v>
      </c>
    </row>
    <row r="176" spans="3:7" ht="27.75" customHeight="1" x14ac:dyDescent="0.25">
      <c r="C176" s="26">
        <v>45749</v>
      </c>
      <c r="D176" s="16" t="s">
        <v>8</v>
      </c>
      <c r="E176" s="27" t="s">
        <v>14</v>
      </c>
      <c r="F176" s="27" t="s">
        <v>37</v>
      </c>
      <c r="G176" s="88">
        <v>357000</v>
      </c>
    </row>
    <row r="177" spans="3:7" ht="27.75" customHeight="1" x14ac:dyDescent="0.25">
      <c r="C177" s="26">
        <v>45749</v>
      </c>
      <c r="D177" s="16" t="s">
        <v>9</v>
      </c>
      <c r="E177" s="27" t="s">
        <v>17</v>
      </c>
      <c r="F177" s="27" t="s">
        <v>44</v>
      </c>
      <c r="G177" s="88">
        <v>57000</v>
      </c>
    </row>
    <row r="178" spans="3:7" ht="27.75" customHeight="1" x14ac:dyDescent="0.25">
      <c r="C178" s="26">
        <v>45750</v>
      </c>
      <c r="D178" s="16" t="s">
        <v>6</v>
      </c>
      <c r="E178" s="27" t="s">
        <v>3</v>
      </c>
      <c r="F178" s="27" t="s">
        <v>35</v>
      </c>
      <c r="G178" s="88">
        <v>205000</v>
      </c>
    </row>
    <row r="179" spans="3:7" ht="27.75" customHeight="1" x14ac:dyDescent="0.25">
      <c r="C179" s="26">
        <v>45750</v>
      </c>
      <c r="D179" s="16" t="s">
        <v>6</v>
      </c>
      <c r="E179" s="27" t="s">
        <v>5</v>
      </c>
      <c r="F179" s="27" t="s">
        <v>27</v>
      </c>
      <c r="G179" s="88">
        <v>59000</v>
      </c>
    </row>
    <row r="180" spans="3:7" ht="27.75" customHeight="1" x14ac:dyDescent="0.25">
      <c r="C180" s="26">
        <v>45750</v>
      </c>
      <c r="D180" s="16" t="s">
        <v>8</v>
      </c>
      <c r="E180" s="27" t="s">
        <v>4</v>
      </c>
      <c r="F180" s="27" t="s">
        <v>28</v>
      </c>
      <c r="G180" s="88">
        <v>190000</v>
      </c>
    </row>
    <row r="181" spans="3:7" ht="27.75" customHeight="1" x14ac:dyDescent="0.25">
      <c r="C181" s="26">
        <v>45750</v>
      </c>
      <c r="D181" s="16" t="s">
        <v>9</v>
      </c>
      <c r="E181" s="27" t="s">
        <v>12</v>
      </c>
      <c r="F181" s="27" t="s">
        <v>45</v>
      </c>
      <c r="G181" s="88">
        <v>262000</v>
      </c>
    </row>
    <row r="182" spans="3:7" ht="27.75" customHeight="1" x14ac:dyDescent="0.25">
      <c r="C182" s="26">
        <v>45750</v>
      </c>
      <c r="D182" s="16" t="s">
        <v>11</v>
      </c>
      <c r="E182" s="27" t="s">
        <v>20</v>
      </c>
      <c r="F182" s="27" t="s">
        <v>29</v>
      </c>
      <c r="G182" s="88">
        <v>500000</v>
      </c>
    </row>
    <row r="183" spans="3:7" ht="27.75" customHeight="1" x14ac:dyDescent="0.25">
      <c r="C183" s="26">
        <v>45751</v>
      </c>
      <c r="D183" s="16" t="s">
        <v>8</v>
      </c>
      <c r="E183" s="27" t="s">
        <v>4</v>
      </c>
      <c r="F183" s="27" t="s">
        <v>28</v>
      </c>
      <c r="G183" s="88">
        <v>105000</v>
      </c>
    </row>
    <row r="184" spans="3:7" ht="27.75" customHeight="1" x14ac:dyDescent="0.25">
      <c r="C184" s="26">
        <v>45751</v>
      </c>
      <c r="D184" s="16" t="s">
        <v>6</v>
      </c>
      <c r="E184" s="27" t="s">
        <v>5</v>
      </c>
      <c r="F184" s="27" t="s">
        <v>27</v>
      </c>
      <c r="G184" s="88">
        <v>48000</v>
      </c>
    </row>
    <row r="185" spans="3:7" ht="27.75" customHeight="1" x14ac:dyDescent="0.25">
      <c r="C185" s="26">
        <v>45752</v>
      </c>
      <c r="D185" s="16" t="s">
        <v>8</v>
      </c>
      <c r="E185" s="27" t="s">
        <v>13</v>
      </c>
      <c r="F185" s="27" t="s">
        <v>38</v>
      </c>
      <c r="G185" s="88">
        <v>103000</v>
      </c>
    </row>
    <row r="186" spans="3:7" ht="27.75" customHeight="1" x14ac:dyDescent="0.25">
      <c r="C186" s="26">
        <v>45752</v>
      </c>
      <c r="D186" s="16" t="s">
        <v>8</v>
      </c>
      <c r="E186" s="27" t="s">
        <v>4</v>
      </c>
      <c r="F186" s="27" t="s">
        <v>28</v>
      </c>
      <c r="G186" s="88">
        <v>94000</v>
      </c>
    </row>
    <row r="187" spans="3:7" ht="27.75" customHeight="1" x14ac:dyDescent="0.25">
      <c r="C187" s="26">
        <v>45752</v>
      </c>
      <c r="D187" s="16" t="s">
        <v>9</v>
      </c>
      <c r="E187" s="27" t="s">
        <v>17</v>
      </c>
      <c r="F187" s="27" t="s">
        <v>44</v>
      </c>
      <c r="G187" s="88">
        <v>72000</v>
      </c>
    </row>
    <row r="188" spans="3:7" ht="27.75" customHeight="1" x14ac:dyDescent="0.25">
      <c r="C188" s="26">
        <v>45752</v>
      </c>
      <c r="D188" s="16" t="s">
        <v>9</v>
      </c>
      <c r="E188" s="27" t="s">
        <v>15</v>
      </c>
      <c r="F188" s="27" t="s">
        <v>41</v>
      </c>
      <c r="G188" s="88">
        <v>500000</v>
      </c>
    </row>
    <row r="189" spans="3:7" ht="27.75" customHeight="1" x14ac:dyDescent="0.25">
      <c r="C189" s="26">
        <v>45753</v>
      </c>
      <c r="D189" s="16" t="s">
        <v>9</v>
      </c>
      <c r="E189" s="27" t="s">
        <v>12</v>
      </c>
      <c r="F189" s="27" t="s">
        <v>52</v>
      </c>
      <c r="G189" s="88">
        <v>56000</v>
      </c>
    </row>
    <row r="190" spans="3:7" ht="27.75" customHeight="1" x14ac:dyDescent="0.25">
      <c r="C190" s="26">
        <v>45753</v>
      </c>
      <c r="D190" s="16" t="s">
        <v>11</v>
      </c>
      <c r="E190" s="27" t="s">
        <v>21</v>
      </c>
      <c r="F190" s="27" t="s">
        <v>48</v>
      </c>
      <c r="G190" s="88">
        <v>2000000</v>
      </c>
    </row>
    <row r="191" spans="3:7" ht="27.75" customHeight="1" x14ac:dyDescent="0.25">
      <c r="C191" s="26">
        <v>45754</v>
      </c>
      <c r="D191" s="16" t="s">
        <v>6</v>
      </c>
      <c r="E191" s="27" t="s">
        <v>5</v>
      </c>
      <c r="F191" s="27" t="s">
        <v>27</v>
      </c>
      <c r="G191" s="88">
        <v>55000</v>
      </c>
    </row>
    <row r="192" spans="3:7" ht="27.75" customHeight="1" x14ac:dyDescent="0.25">
      <c r="C192" s="26">
        <v>45754</v>
      </c>
      <c r="D192" s="16" t="s">
        <v>6</v>
      </c>
      <c r="E192" s="27" t="s">
        <v>5</v>
      </c>
      <c r="F192" s="27" t="s">
        <v>50</v>
      </c>
      <c r="G192" s="88">
        <v>107000</v>
      </c>
    </row>
    <row r="193" spans="3:7" ht="27.75" customHeight="1" x14ac:dyDescent="0.25">
      <c r="C193" s="26">
        <v>45754</v>
      </c>
      <c r="D193" s="16" t="s">
        <v>6</v>
      </c>
      <c r="E193" s="27" t="s">
        <v>5</v>
      </c>
      <c r="F193" s="27" t="s">
        <v>51</v>
      </c>
      <c r="G193" s="88">
        <v>23000</v>
      </c>
    </row>
    <row r="194" spans="3:7" ht="27.75" customHeight="1" x14ac:dyDescent="0.25">
      <c r="C194" s="26">
        <v>45754</v>
      </c>
      <c r="D194" s="16" t="s">
        <v>8</v>
      </c>
      <c r="E194" s="27" t="s">
        <v>4</v>
      </c>
      <c r="F194" s="27" t="s">
        <v>28</v>
      </c>
      <c r="G194" s="88">
        <v>134000</v>
      </c>
    </row>
    <row r="195" spans="3:7" ht="27.75" customHeight="1" x14ac:dyDescent="0.25">
      <c r="C195" s="26">
        <v>45754</v>
      </c>
      <c r="D195" s="16" t="s">
        <v>9</v>
      </c>
      <c r="E195" s="27" t="s">
        <v>16</v>
      </c>
      <c r="F195" s="27" t="s">
        <v>42</v>
      </c>
      <c r="G195" s="88">
        <v>244000</v>
      </c>
    </row>
    <row r="196" spans="3:7" ht="27.75" customHeight="1" x14ac:dyDescent="0.25">
      <c r="C196" s="26">
        <v>45755</v>
      </c>
      <c r="D196" s="16" t="s">
        <v>9</v>
      </c>
      <c r="E196" s="27" t="s">
        <v>17</v>
      </c>
      <c r="F196" s="27" t="s">
        <v>44</v>
      </c>
      <c r="G196" s="88">
        <v>56000</v>
      </c>
    </row>
    <row r="197" spans="3:7" ht="27.75" customHeight="1" x14ac:dyDescent="0.25">
      <c r="C197" s="26">
        <v>45756</v>
      </c>
      <c r="D197" s="16" t="s">
        <v>6</v>
      </c>
      <c r="E197" s="27" t="s">
        <v>5</v>
      </c>
      <c r="F197" s="27" t="s">
        <v>27</v>
      </c>
      <c r="G197" s="88">
        <v>50000</v>
      </c>
    </row>
    <row r="198" spans="3:7" ht="27.75" customHeight="1" x14ac:dyDescent="0.25">
      <c r="C198" s="26">
        <v>45756</v>
      </c>
      <c r="D198" s="16" t="s">
        <v>8</v>
      </c>
      <c r="E198" s="27" t="s">
        <v>4</v>
      </c>
      <c r="F198" s="27" t="s">
        <v>28</v>
      </c>
      <c r="G198" s="88">
        <v>136000</v>
      </c>
    </row>
    <row r="199" spans="3:7" ht="27.75" customHeight="1" x14ac:dyDescent="0.25">
      <c r="C199" s="26">
        <v>45757</v>
      </c>
      <c r="D199" s="16" t="s">
        <v>8</v>
      </c>
      <c r="E199" s="27" t="s">
        <v>13</v>
      </c>
      <c r="F199" s="27" t="s">
        <v>30</v>
      </c>
      <c r="G199" s="88">
        <v>60000</v>
      </c>
    </row>
    <row r="200" spans="3:7" ht="27.75" customHeight="1" x14ac:dyDescent="0.25">
      <c r="C200" s="26">
        <v>45758</v>
      </c>
      <c r="D200" s="16" t="s">
        <v>9</v>
      </c>
      <c r="E200" s="27" t="s">
        <v>16</v>
      </c>
      <c r="F200" s="27" t="s">
        <v>43</v>
      </c>
      <c r="G200" s="88">
        <v>226000</v>
      </c>
    </row>
    <row r="201" spans="3:7" ht="27.75" customHeight="1" x14ac:dyDescent="0.25">
      <c r="C201" s="26">
        <v>45758</v>
      </c>
      <c r="D201" s="16" t="s">
        <v>8</v>
      </c>
      <c r="E201" s="27" t="s">
        <v>4</v>
      </c>
      <c r="F201" s="27" t="s">
        <v>28</v>
      </c>
      <c r="G201" s="88">
        <v>147000</v>
      </c>
    </row>
    <row r="202" spans="3:7" ht="27.75" customHeight="1" x14ac:dyDescent="0.25">
      <c r="C202" s="26">
        <v>45758</v>
      </c>
      <c r="D202" s="16" t="s">
        <v>9</v>
      </c>
      <c r="E202" s="27" t="s">
        <v>17</v>
      </c>
      <c r="F202" s="27" t="s">
        <v>44</v>
      </c>
      <c r="G202" s="88">
        <v>53000</v>
      </c>
    </row>
    <row r="203" spans="3:7" ht="27.75" customHeight="1" x14ac:dyDescent="0.25">
      <c r="C203" s="26">
        <v>45759</v>
      </c>
      <c r="D203" s="16" t="s">
        <v>9</v>
      </c>
      <c r="E203" s="27" t="s">
        <v>12</v>
      </c>
      <c r="F203" s="27" t="s">
        <v>47</v>
      </c>
      <c r="G203" s="88">
        <v>99000</v>
      </c>
    </row>
    <row r="204" spans="3:7" ht="27.75" customHeight="1" x14ac:dyDescent="0.25">
      <c r="C204" s="26">
        <v>45760</v>
      </c>
      <c r="D204" s="16" t="s">
        <v>8</v>
      </c>
      <c r="E204" s="27" t="s">
        <v>4</v>
      </c>
      <c r="F204" s="27" t="s">
        <v>28</v>
      </c>
      <c r="G204" s="88">
        <v>176000</v>
      </c>
    </row>
    <row r="205" spans="3:7" ht="27.75" customHeight="1" x14ac:dyDescent="0.25">
      <c r="C205" s="26">
        <v>45761</v>
      </c>
      <c r="D205" s="16" t="s">
        <v>9</v>
      </c>
      <c r="E205" s="27" t="s">
        <v>17</v>
      </c>
      <c r="F205" s="27" t="s">
        <v>44</v>
      </c>
      <c r="G205" s="88">
        <v>51000</v>
      </c>
    </row>
    <row r="206" spans="3:7" ht="27.75" customHeight="1" x14ac:dyDescent="0.25">
      <c r="C206" s="26">
        <v>45762</v>
      </c>
      <c r="D206" s="16" t="s">
        <v>6</v>
      </c>
      <c r="E206" s="27" t="s">
        <v>5</v>
      </c>
      <c r="F206" s="27" t="s">
        <v>27</v>
      </c>
      <c r="G206" s="88">
        <v>54000</v>
      </c>
    </row>
    <row r="207" spans="3:7" ht="27.75" customHeight="1" x14ac:dyDescent="0.25">
      <c r="C207" s="26">
        <v>45762</v>
      </c>
      <c r="D207" s="16" t="s">
        <v>8</v>
      </c>
      <c r="E207" s="27" t="s">
        <v>14</v>
      </c>
      <c r="F207" s="27" t="s">
        <v>40</v>
      </c>
      <c r="G207" s="88">
        <v>110000</v>
      </c>
    </row>
    <row r="208" spans="3:7" ht="27.75" customHeight="1" x14ac:dyDescent="0.25">
      <c r="C208" s="26">
        <v>45763</v>
      </c>
      <c r="D208" s="16" t="s">
        <v>8</v>
      </c>
      <c r="E208" s="27" t="s">
        <v>4</v>
      </c>
      <c r="F208" s="27" t="s">
        <v>28</v>
      </c>
      <c r="G208" s="88">
        <v>184000</v>
      </c>
    </row>
    <row r="209" spans="3:7" ht="27.75" customHeight="1" x14ac:dyDescent="0.25">
      <c r="C209" s="26">
        <v>45764</v>
      </c>
      <c r="D209" s="16" t="s">
        <v>8</v>
      </c>
      <c r="E209" s="27" t="s">
        <v>4</v>
      </c>
      <c r="F209" s="27" t="s">
        <v>28</v>
      </c>
      <c r="G209" s="88">
        <v>161000</v>
      </c>
    </row>
    <row r="210" spans="3:7" ht="27.75" customHeight="1" x14ac:dyDescent="0.25">
      <c r="C210" s="26">
        <v>45765</v>
      </c>
      <c r="D210" s="16" t="s">
        <v>9</v>
      </c>
      <c r="E210" s="27" t="s">
        <v>17</v>
      </c>
      <c r="F210" s="27" t="s">
        <v>44</v>
      </c>
      <c r="G210" s="88">
        <v>59000</v>
      </c>
    </row>
    <row r="211" spans="3:7" ht="27.75" customHeight="1" x14ac:dyDescent="0.25">
      <c r="C211" s="26">
        <v>45766</v>
      </c>
      <c r="D211" s="16" t="s">
        <v>8</v>
      </c>
      <c r="E211" s="27" t="s">
        <v>4</v>
      </c>
      <c r="F211" s="27" t="s">
        <v>28</v>
      </c>
      <c r="G211" s="88">
        <v>102000</v>
      </c>
    </row>
    <row r="212" spans="3:7" ht="27.75" customHeight="1" x14ac:dyDescent="0.25">
      <c r="C212" s="26">
        <v>45767</v>
      </c>
      <c r="D212" s="16" t="s">
        <v>6</v>
      </c>
      <c r="E212" s="27" t="s">
        <v>5</v>
      </c>
      <c r="F212" s="27" t="s">
        <v>27</v>
      </c>
      <c r="G212" s="88">
        <v>52000</v>
      </c>
    </row>
    <row r="213" spans="3:7" ht="27.75" customHeight="1" x14ac:dyDescent="0.25">
      <c r="C213" s="26">
        <v>45767</v>
      </c>
      <c r="D213" s="16" t="s">
        <v>8</v>
      </c>
      <c r="E213" s="27" t="s">
        <v>13</v>
      </c>
      <c r="F213" s="27" t="s">
        <v>39</v>
      </c>
      <c r="G213" s="88">
        <v>67000</v>
      </c>
    </row>
    <row r="214" spans="3:7" ht="27.75" customHeight="1" x14ac:dyDescent="0.25">
      <c r="C214" s="26">
        <v>45767</v>
      </c>
      <c r="D214" s="16" t="s">
        <v>9</v>
      </c>
      <c r="E214" s="27" t="s">
        <v>17</v>
      </c>
      <c r="F214" s="27" t="s">
        <v>44</v>
      </c>
      <c r="G214" s="88">
        <v>51000</v>
      </c>
    </row>
    <row r="215" spans="3:7" ht="27.75" customHeight="1" x14ac:dyDescent="0.25">
      <c r="C215" s="26">
        <v>45768</v>
      </c>
      <c r="D215" s="16" t="s">
        <v>8</v>
      </c>
      <c r="E215" s="27" t="s">
        <v>4</v>
      </c>
      <c r="F215" s="27" t="s">
        <v>28</v>
      </c>
      <c r="G215" s="88">
        <v>161000</v>
      </c>
    </row>
    <row r="216" spans="3:7" ht="27.75" customHeight="1" x14ac:dyDescent="0.25">
      <c r="C216" s="26">
        <v>45769</v>
      </c>
      <c r="D216" s="16" t="s">
        <v>8</v>
      </c>
      <c r="E216" s="27" t="s">
        <v>4</v>
      </c>
      <c r="F216" s="27" t="s">
        <v>28</v>
      </c>
      <c r="G216" s="88">
        <v>148000</v>
      </c>
    </row>
    <row r="217" spans="3:7" ht="27.75" customHeight="1" x14ac:dyDescent="0.25">
      <c r="C217" s="26">
        <v>45770</v>
      </c>
      <c r="D217" s="16" t="s">
        <v>9</v>
      </c>
      <c r="E217" s="27" t="s">
        <v>12</v>
      </c>
      <c r="F217" s="27" t="s">
        <v>46</v>
      </c>
      <c r="G217" s="88">
        <v>117000</v>
      </c>
    </row>
    <row r="218" spans="3:7" ht="27.75" customHeight="1" x14ac:dyDescent="0.25">
      <c r="C218" s="26">
        <v>45770</v>
      </c>
      <c r="D218" s="16" t="s">
        <v>10</v>
      </c>
      <c r="E218" s="27" t="s">
        <v>18</v>
      </c>
      <c r="F218" s="27" t="s">
        <v>54</v>
      </c>
      <c r="G218" s="88">
        <v>275000</v>
      </c>
    </row>
    <row r="219" spans="3:7" ht="27.75" customHeight="1" x14ac:dyDescent="0.25">
      <c r="C219" s="26">
        <v>45771</v>
      </c>
      <c r="D219" s="16" t="s">
        <v>6</v>
      </c>
      <c r="E219" s="27" t="s">
        <v>5</v>
      </c>
      <c r="F219" s="27" t="s">
        <v>27</v>
      </c>
      <c r="G219" s="88">
        <v>48000</v>
      </c>
    </row>
    <row r="220" spans="3:7" ht="27.75" customHeight="1" x14ac:dyDescent="0.25">
      <c r="C220" s="26">
        <v>45772</v>
      </c>
      <c r="D220" s="16" t="s">
        <v>8</v>
      </c>
      <c r="E220" s="27" t="s">
        <v>13</v>
      </c>
      <c r="F220" s="27" t="s">
        <v>30</v>
      </c>
      <c r="G220" s="88">
        <v>62000</v>
      </c>
    </row>
    <row r="221" spans="3:7" ht="27.75" customHeight="1" x14ac:dyDescent="0.25">
      <c r="C221" s="26">
        <v>45772</v>
      </c>
      <c r="D221" s="16" t="s">
        <v>8</v>
      </c>
      <c r="E221" s="27" t="s">
        <v>4</v>
      </c>
      <c r="F221" s="27" t="s">
        <v>28</v>
      </c>
      <c r="G221" s="88">
        <v>128000</v>
      </c>
    </row>
    <row r="222" spans="3:7" ht="27.75" customHeight="1" x14ac:dyDescent="0.25">
      <c r="C222" s="26">
        <v>45774</v>
      </c>
      <c r="D222" s="16" t="s">
        <v>8</v>
      </c>
      <c r="E222" s="27" t="s">
        <v>4</v>
      </c>
      <c r="F222" s="27" t="s">
        <v>28</v>
      </c>
      <c r="G222" s="88">
        <v>111000</v>
      </c>
    </row>
    <row r="223" spans="3:7" ht="27.75" customHeight="1" x14ac:dyDescent="0.25">
      <c r="C223" s="26">
        <v>45775</v>
      </c>
      <c r="D223" s="16" t="s">
        <v>6</v>
      </c>
      <c r="E223" s="27" t="s">
        <v>5</v>
      </c>
      <c r="F223" s="27" t="s">
        <v>27</v>
      </c>
      <c r="G223" s="88">
        <v>57000</v>
      </c>
    </row>
    <row r="224" spans="3:7" ht="27.75" customHeight="1" x14ac:dyDescent="0.25">
      <c r="C224" s="26">
        <v>45776</v>
      </c>
      <c r="D224" s="16" t="s">
        <v>8</v>
      </c>
      <c r="E224" s="27" t="s">
        <v>4</v>
      </c>
      <c r="F224" s="27" t="s">
        <v>28</v>
      </c>
      <c r="G224" s="88">
        <v>124000</v>
      </c>
    </row>
    <row r="225" spans="3:7" ht="27.75" customHeight="1" x14ac:dyDescent="0.25">
      <c r="C225" s="26">
        <v>45776</v>
      </c>
      <c r="D225" s="16" t="s">
        <v>6</v>
      </c>
      <c r="E225" s="27" t="s">
        <v>5</v>
      </c>
      <c r="F225" s="27" t="s">
        <v>27</v>
      </c>
      <c r="G225" s="88">
        <v>54000</v>
      </c>
    </row>
    <row r="226" spans="3:7" ht="27.75" customHeight="1" x14ac:dyDescent="0.25">
      <c r="C226" s="26">
        <v>45777</v>
      </c>
      <c r="D226" s="16" t="s">
        <v>8</v>
      </c>
      <c r="E226" s="27" t="s">
        <v>4</v>
      </c>
      <c r="F226" s="27" t="s">
        <v>28</v>
      </c>
      <c r="G226" s="88">
        <v>124000</v>
      </c>
    </row>
    <row r="227" spans="3:7" ht="27.75" customHeight="1" x14ac:dyDescent="0.25">
      <c r="C227" s="26">
        <v>45777</v>
      </c>
      <c r="D227" s="16" t="s">
        <v>6</v>
      </c>
      <c r="E227" s="27" t="s">
        <v>5</v>
      </c>
      <c r="F227" s="27" t="s">
        <v>27</v>
      </c>
      <c r="G227" s="88">
        <v>59000</v>
      </c>
    </row>
    <row r="228" spans="3:7" ht="27.75" customHeight="1" x14ac:dyDescent="0.25">
      <c r="C228" s="26">
        <v>45778</v>
      </c>
      <c r="D228" s="16" t="s">
        <v>6</v>
      </c>
      <c r="E228" s="27" t="s">
        <v>2</v>
      </c>
      <c r="F228" s="27" t="s">
        <v>2</v>
      </c>
      <c r="G228" s="88">
        <v>1600000</v>
      </c>
    </row>
    <row r="229" spans="3:7" ht="27.75" customHeight="1" x14ac:dyDescent="0.25">
      <c r="C229" s="26">
        <v>45778</v>
      </c>
      <c r="D229" s="16" t="s">
        <v>6</v>
      </c>
      <c r="E229" s="27" t="s">
        <v>3</v>
      </c>
      <c r="F229" s="27" t="s">
        <v>36</v>
      </c>
      <c r="G229" s="88">
        <v>31000</v>
      </c>
    </row>
    <row r="230" spans="3:7" ht="27.75" customHeight="1" x14ac:dyDescent="0.25">
      <c r="C230" s="26">
        <v>45779</v>
      </c>
      <c r="D230" s="16" t="s">
        <v>6</v>
      </c>
      <c r="E230" s="27" t="s">
        <v>3</v>
      </c>
      <c r="F230" s="27" t="s">
        <v>33</v>
      </c>
      <c r="G230" s="88">
        <v>485000</v>
      </c>
    </row>
    <row r="231" spans="3:7" ht="27.75" customHeight="1" x14ac:dyDescent="0.25">
      <c r="C231" s="26">
        <v>45779</v>
      </c>
      <c r="D231" s="16" t="s">
        <v>6</v>
      </c>
      <c r="E231" s="27" t="s">
        <v>3</v>
      </c>
      <c r="F231" s="27" t="s">
        <v>34</v>
      </c>
      <c r="G231" s="88">
        <v>103000</v>
      </c>
    </row>
    <row r="232" spans="3:7" ht="27.75" customHeight="1" x14ac:dyDescent="0.25">
      <c r="C232" s="26">
        <v>45779</v>
      </c>
      <c r="D232" s="16" t="s">
        <v>8</v>
      </c>
      <c r="E232" s="27" t="s">
        <v>14</v>
      </c>
      <c r="F232" s="27" t="s">
        <v>37</v>
      </c>
      <c r="G232" s="88">
        <v>150000</v>
      </c>
    </row>
    <row r="233" spans="3:7" ht="27.75" customHeight="1" x14ac:dyDescent="0.25">
      <c r="C233" s="26">
        <v>45779</v>
      </c>
      <c r="D233" s="16" t="s">
        <v>9</v>
      </c>
      <c r="E233" s="27" t="s">
        <v>17</v>
      </c>
      <c r="F233" s="27" t="s">
        <v>44</v>
      </c>
      <c r="G233" s="88">
        <v>55000</v>
      </c>
    </row>
    <row r="234" spans="3:7" ht="27.75" customHeight="1" x14ac:dyDescent="0.25">
      <c r="C234" s="26">
        <v>45780</v>
      </c>
      <c r="D234" s="16" t="s">
        <v>6</v>
      </c>
      <c r="E234" s="27" t="s">
        <v>3</v>
      </c>
      <c r="F234" s="27" t="s">
        <v>35</v>
      </c>
      <c r="G234" s="88">
        <v>191000</v>
      </c>
    </row>
    <row r="235" spans="3:7" ht="27.75" customHeight="1" x14ac:dyDescent="0.25">
      <c r="C235" s="26">
        <v>45780</v>
      </c>
      <c r="D235" s="16" t="s">
        <v>6</v>
      </c>
      <c r="E235" s="27" t="s">
        <v>5</v>
      </c>
      <c r="F235" s="27" t="s">
        <v>27</v>
      </c>
      <c r="G235" s="88">
        <v>58000</v>
      </c>
    </row>
    <row r="236" spans="3:7" ht="27.75" customHeight="1" x14ac:dyDescent="0.25">
      <c r="C236" s="26">
        <v>45780</v>
      </c>
      <c r="D236" s="16" t="s">
        <v>8</v>
      </c>
      <c r="E236" s="27" t="s">
        <v>4</v>
      </c>
      <c r="F236" s="27" t="s">
        <v>28</v>
      </c>
      <c r="G236" s="88">
        <v>186000</v>
      </c>
    </row>
    <row r="237" spans="3:7" ht="27.75" customHeight="1" x14ac:dyDescent="0.25">
      <c r="C237" s="26">
        <v>45780</v>
      </c>
      <c r="D237" s="16" t="s">
        <v>9</v>
      </c>
      <c r="E237" s="27" t="s">
        <v>12</v>
      </c>
      <c r="F237" s="27" t="s">
        <v>45</v>
      </c>
      <c r="G237" s="88">
        <v>200000</v>
      </c>
    </row>
    <row r="238" spans="3:7" ht="27.75" customHeight="1" x14ac:dyDescent="0.25">
      <c r="C238" s="26">
        <v>45780</v>
      </c>
      <c r="D238" s="16" t="s">
        <v>11</v>
      </c>
      <c r="E238" s="27" t="s">
        <v>20</v>
      </c>
      <c r="F238" s="27" t="s">
        <v>29</v>
      </c>
      <c r="G238" s="88">
        <v>500000</v>
      </c>
    </row>
    <row r="239" spans="3:7" ht="27.75" customHeight="1" x14ac:dyDescent="0.25">
      <c r="C239" s="26">
        <v>45781</v>
      </c>
      <c r="D239" s="16" t="s">
        <v>8</v>
      </c>
      <c r="E239" s="27" t="s">
        <v>4</v>
      </c>
      <c r="F239" s="27" t="s">
        <v>28</v>
      </c>
      <c r="G239" s="88">
        <v>109000</v>
      </c>
    </row>
    <row r="240" spans="3:7" ht="27.75" customHeight="1" x14ac:dyDescent="0.25">
      <c r="C240" s="26">
        <v>45781</v>
      </c>
      <c r="D240" s="16" t="s">
        <v>6</v>
      </c>
      <c r="E240" s="27" t="s">
        <v>5</v>
      </c>
      <c r="F240" s="27" t="s">
        <v>27</v>
      </c>
      <c r="G240" s="88">
        <v>50000</v>
      </c>
    </row>
    <row r="241" spans="3:7" ht="27.75" customHeight="1" x14ac:dyDescent="0.25">
      <c r="C241" s="26">
        <v>45782</v>
      </c>
      <c r="D241" s="16" t="s">
        <v>8</v>
      </c>
      <c r="E241" s="27" t="s">
        <v>13</v>
      </c>
      <c r="F241" s="27" t="s">
        <v>38</v>
      </c>
      <c r="G241" s="88">
        <v>103000</v>
      </c>
    </row>
    <row r="242" spans="3:7" ht="27.75" customHeight="1" x14ac:dyDescent="0.25">
      <c r="C242" s="26">
        <v>45782</v>
      </c>
      <c r="D242" s="16" t="s">
        <v>8</v>
      </c>
      <c r="E242" s="27" t="s">
        <v>4</v>
      </c>
      <c r="F242" s="27" t="s">
        <v>28</v>
      </c>
      <c r="G242" s="88">
        <v>94000</v>
      </c>
    </row>
    <row r="243" spans="3:7" ht="27.75" customHeight="1" x14ac:dyDescent="0.25">
      <c r="C243" s="26">
        <v>45782</v>
      </c>
      <c r="D243" s="16" t="s">
        <v>9</v>
      </c>
      <c r="E243" s="27" t="s">
        <v>17</v>
      </c>
      <c r="F243" s="27" t="s">
        <v>44</v>
      </c>
      <c r="G243" s="88">
        <v>76000</v>
      </c>
    </row>
    <row r="244" spans="3:7" ht="27.75" customHeight="1" x14ac:dyDescent="0.25">
      <c r="C244" s="26">
        <v>45782</v>
      </c>
      <c r="D244" s="16" t="s">
        <v>9</v>
      </c>
      <c r="E244" s="27" t="s">
        <v>15</v>
      </c>
      <c r="F244" s="27" t="s">
        <v>41</v>
      </c>
      <c r="G244" s="88">
        <v>500000</v>
      </c>
    </row>
    <row r="245" spans="3:7" ht="27.75" customHeight="1" x14ac:dyDescent="0.25">
      <c r="C245" s="26">
        <v>45783</v>
      </c>
      <c r="D245" s="16" t="s">
        <v>9</v>
      </c>
      <c r="E245" s="27" t="s">
        <v>12</v>
      </c>
      <c r="F245" s="27" t="s">
        <v>52</v>
      </c>
      <c r="G245" s="88">
        <v>58000</v>
      </c>
    </row>
    <row r="246" spans="3:7" ht="27.75" customHeight="1" x14ac:dyDescent="0.25">
      <c r="C246" s="26">
        <v>45783</v>
      </c>
      <c r="D246" s="16" t="s">
        <v>11</v>
      </c>
      <c r="E246" s="27" t="s">
        <v>21</v>
      </c>
      <c r="F246" s="27" t="s">
        <v>48</v>
      </c>
      <c r="G246" s="88">
        <v>1000000</v>
      </c>
    </row>
    <row r="247" spans="3:7" ht="27.75" customHeight="1" x14ac:dyDescent="0.25">
      <c r="C247" s="26">
        <v>45784</v>
      </c>
      <c r="D247" s="16" t="s">
        <v>6</v>
      </c>
      <c r="E247" s="27" t="s">
        <v>5</v>
      </c>
      <c r="F247" s="27" t="s">
        <v>27</v>
      </c>
      <c r="G247" s="88">
        <v>54000</v>
      </c>
    </row>
    <row r="248" spans="3:7" ht="27.75" customHeight="1" x14ac:dyDescent="0.25">
      <c r="C248" s="26">
        <v>45784</v>
      </c>
      <c r="D248" s="16" t="s">
        <v>6</v>
      </c>
      <c r="E248" s="27" t="s">
        <v>5</v>
      </c>
      <c r="F248" s="27" t="s">
        <v>50</v>
      </c>
      <c r="G248" s="88">
        <v>106000</v>
      </c>
    </row>
    <row r="249" spans="3:7" ht="27.75" customHeight="1" x14ac:dyDescent="0.25">
      <c r="C249" s="26">
        <v>45784</v>
      </c>
      <c r="D249" s="16" t="s">
        <v>6</v>
      </c>
      <c r="E249" s="27" t="s">
        <v>5</v>
      </c>
      <c r="F249" s="27" t="s">
        <v>51</v>
      </c>
      <c r="G249" s="88">
        <v>23000</v>
      </c>
    </row>
    <row r="250" spans="3:7" ht="27.75" customHeight="1" x14ac:dyDescent="0.25">
      <c r="C250" s="26">
        <v>45784</v>
      </c>
      <c r="D250" s="16" t="s">
        <v>8</v>
      </c>
      <c r="E250" s="27" t="s">
        <v>4</v>
      </c>
      <c r="F250" s="27" t="s">
        <v>28</v>
      </c>
      <c r="G250" s="88">
        <v>130000</v>
      </c>
    </row>
    <row r="251" spans="3:7" ht="27.75" customHeight="1" x14ac:dyDescent="0.25">
      <c r="C251" s="26">
        <v>45784</v>
      </c>
      <c r="D251" s="16" t="s">
        <v>9</v>
      </c>
      <c r="E251" s="27" t="s">
        <v>16</v>
      </c>
      <c r="F251" s="27" t="s">
        <v>42</v>
      </c>
      <c r="G251" s="88">
        <v>229000</v>
      </c>
    </row>
    <row r="252" spans="3:7" ht="27.75" customHeight="1" x14ac:dyDescent="0.25">
      <c r="C252" s="26">
        <v>45785</v>
      </c>
      <c r="D252" s="16" t="s">
        <v>9</v>
      </c>
      <c r="E252" s="27" t="s">
        <v>17</v>
      </c>
      <c r="F252" s="27" t="s">
        <v>44</v>
      </c>
      <c r="G252" s="88">
        <v>60000</v>
      </c>
    </row>
    <row r="253" spans="3:7" ht="27.75" customHeight="1" x14ac:dyDescent="0.25">
      <c r="C253" s="26">
        <v>45786</v>
      </c>
      <c r="D253" s="16" t="s">
        <v>6</v>
      </c>
      <c r="E253" s="27" t="s">
        <v>5</v>
      </c>
      <c r="F253" s="27" t="s">
        <v>27</v>
      </c>
      <c r="G253" s="88">
        <v>49000</v>
      </c>
    </row>
    <row r="254" spans="3:7" ht="27.75" customHeight="1" x14ac:dyDescent="0.25">
      <c r="C254" s="26">
        <v>45786</v>
      </c>
      <c r="D254" s="16" t="s">
        <v>8</v>
      </c>
      <c r="E254" s="27" t="s">
        <v>4</v>
      </c>
      <c r="F254" s="27" t="s">
        <v>28</v>
      </c>
      <c r="G254" s="88">
        <v>128000</v>
      </c>
    </row>
    <row r="255" spans="3:7" ht="27.75" customHeight="1" x14ac:dyDescent="0.25">
      <c r="C255" s="26">
        <v>45787</v>
      </c>
      <c r="D255" s="16" t="s">
        <v>8</v>
      </c>
      <c r="E255" s="27" t="s">
        <v>13</v>
      </c>
      <c r="F255" s="27" t="s">
        <v>30</v>
      </c>
      <c r="G255" s="88">
        <v>62000</v>
      </c>
    </row>
    <row r="256" spans="3:7" ht="27.75" customHeight="1" x14ac:dyDescent="0.25">
      <c r="C256" s="26">
        <v>45788</v>
      </c>
      <c r="D256" s="16" t="s">
        <v>9</v>
      </c>
      <c r="E256" s="27" t="s">
        <v>16</v>
      </c>
      <c r="F256" s="27" t="s">
        <v>43</v>
      </c>
      <c r="G256" s="88">
        <v>220000</v>
      </c>
    </row>
    <row r="257" spans="3:7" ht="27.75" customHeight="1" x14ac:dyDescent="0.25">
      <c r="C257" s="26">
        <v>45788</v>
      </c>
      <c r="D257" s="16" t="s">
        <v>8</v>
      </c>
      <c r="E257" s="27" t="s">
        <v>4</v>
      </c>
      <c r="F257" s="27" t="s">
        <v>28</v>
      </c>
      <c r="G257" s="88">
        <v>144000</v>
      </c>
    </row>
    <row r="258" spans="3:7" ht="27.75" customHeight="1" x14ac:dyDescent="0.25">
      <c r="C258" s="26">
        <v>45788</v>
      </c>
      <c r="D258" s="16" t="s">
        <v>9</v>
      </c>
      <c r="E258" s="27" t="s">
        <v>17</v>
      </c>
      <c r="F258" s="27" t="s">
        <v>44</v>
      </c>
      <c r="G258" s="88">
        <v>54000</v>
      </c>
    </row>
    <row r="259" spans="3:7" ht="27.75" customHeight="1" x14ac:dyDescent="0.25">
      <c r="C259" s="26">
        <v>45789</v>
      </c>
      <c r="D259" s="16" t="s">
        <v>9</v>
      </c>
      <c r="E259" s="27" t="s">
        <v>12</v>
      </c>
      <c r="F259" s="27" t="s">
        <v>47</v>
      </c>
      <c r="G259" s="88">
        <v>108000</v>
      </c>
    </row>
    <row r="260" spans="3:7" ht="27.75" customHeight="1" x14ac:dyDescent="0.25">
      <c r="C260" s="26">
        <v>45790</v>
      </c>
      <c r="D260" s="16" t="s">
        <v>8</v>
      </c>
      <c r="E260" s="27" t="s">
        <v>4</v>
      </c>
      <c r="F260" s="27" t="s">
        <v>28</v>
      </c>
      <c r="G260" s="88">
        <v>174000</v>
      </c>
    </row>
    <row r="261" spans="3:7" ht="27.75" customHeight="1" x14ac:dyDescent="0.25">
      <c r="C261" s="26">
        <v>45790</v>
      </c>
      <c r="D261" s="16" t="s">
        <v>10</v>
      </c>
      <c r="E261" s="27" t="s">
        <v>19</v>
      </c>
      <c r="F261" s="27" t="s">
        <v>53</v>
      </c>
      <c r="G261" s="88">
        <v>500000</v>
      </c>
    </row>
    <row r="262" spans="3:7" ht="27.75" customHeight="1" x14ac:dyDescent="0.25">
      <c r="C262" s="26">
        <v>45791</v>
      </c>
      <c r="D262" s="16" t="s">
        <v>9</v>
      </c>
      <c r="E262" s="27" t="s">
        <v>17</v>
      </c>
      <c r="F262" s="27" t="s">
        <v>44</v>
      </c>
      <c r="G262" s="88">
        <v>50000</v>
      </c>
    </row>
    <row r="263" spans="3:7" ht="27.75" customHeight="1" x14ac:dyDescent="0.25">
      <c r="C263" s="26">
        <v>45792</v>
      </c>
      <c r="D263" s="16" t="s">
        <v>6</v>
      </c>
      <c r="E263" s="27" t="s">
        <v>5</v>
      </c>
      <c r="F263" s="27" t="s">
        <v>27</v>
      </c>
      <c r="G263" s="88">
        <v>52000</v>
      </c>
    </row>
    <row r="264" spans="3:7" ht="27.75" customHeight="1" x14ac:dyDescent="0.25">
      <c r="C264" s="26">
        <v>45792</v>
      </c>
      <c r="D264" s="16" t="s">
        <v>8</v>
      </c>
      <c r="E264" s="27" t="s">
        <v>14</v>
      </c>
      <c r="F264" s="27" t="s">
        <v>40</v>
      </c>
      <c r="G264" s="88">
        <v>121000</v>
      </c>
    </row>
    <row r="265" spans="3:7" ht="27.75" customHeight="1" x14ac:dyDescent="0.25">
      <c r="C265" s="26">
        <v>45793</v>
      </c>
      <c r="D265" s="16" t="s">
        <v>8</v>
      </c>
      <c r="E265" s="27" t="s">
        <v>4</v>
      </c>
      <c r="F265" s="27" t="s">
        <v>28</v>
      </c>
      <c r="G265" s="88">
        <v>180000</v>
      </c>
    </row>
    <row r="266" spans="3:7" ht="27.75" customHeight="1" x14ac:dyDescent="0.25">
      <c r="C266" s="26">
        <v>45794</v>
      </c>
      <c r="D266" s="16" t="s">
        <v>8</v>
      </c>
      <c r="E266" s="27" t="s">
        <v>4</v>
      </c>
      <c r="F266" s="27" t="s">
        <v>28</v>
      </c>
      <c r="G266" s="88">
        <v>156000</v>
      </c>
    </row>
    <row r="267" spans="3:7" ht="27.75" customHeight="1" x14ac:dyDescent="0.25">
      <c r="C267" s="26">
        <v>45795</v>
      </c>
      <c r="D267" s="16" t="s">
        <v>9</v>
      </c>
      <c r="E267" s="27" t="s">
        <v>17</v>
      </c>
      <c r="F267" s="27" t="s">
        <v>44</v>
      </c>
      <c r="G267" s="88">
        <v>60000</v>
      </c>
    </row>
    <row r="268" spans="3:7" ht="27.75" customHeight="1" x14ac:dyDescent="0.25">
      <c r="C268" s="26">
        <v>45796</v>
      </c>
      <c r="D268" s="16" t="s">
        <v>8</v>
      </c>
      <c r="E268" s="27" t="s">
        <v>4</v>
      </c>
      <c r="F268" s="27" t="s">
        <v>28</v>
      </c>
      <c r="G268" s="88">
        <v>97000</v>
      </c>
    </row>
    <row r="269" spans="3:7" ht="27.75" customHeight="1" x14ac:dyDescent="0.25">
      <c r="C269" s="26">
        <v>45797</v>
      </c>
      <c r="D269" s="16" t="s">
        <v>6</v>
      </c>
      <c r="E269" s="27" t="s">
        <v>5</v>
      </c>
      <c r="F269" s="27" t="s">
        <v>27</v>
      </c>
      <c r="G269" s="88">
        <v>54000</v>
      </c>
    </row>
    <row r="270" spans="3:7" ht="27.75" customHeight="1" x14ac:dyDescent="0.25">
      <c r="C270" s="26">
        <v>45797</v>
      </c>
      <c r="D270" s="16" t="s">
        <v>8</v>
      </c>
      <c r="E270" s="27" t="s">
        <v>13</v>
      </c>
      <c r="F270" s="27" t="s">
        <v>39</v>
      </c>
      <c r="G270" s="88">
        <v>71000</v>
      </c>
    </row>
    <row r="271" spans="3:7" ht="27.75" customHeight="1" x14ac:dyDescent="0.25">
      <c r="C271" s="26">
        <v>45797</v>
      </c>
      <c r="D271" s="16" t="s">
        <v>9</v>
      </c>
      <c r="E271" s="27" t="s">
        <v>17</v>
      </c>
      <c r="F271" s="27" t="s">
        <v>44</v>
      </c>
      <c r="G271" s="88">
        <v>56000</v>
      </c>
    </row>
    <row r="272" spans="3:7" ht="27.75" customHeight="1" x14ac:dyDescent="0.25">
      <c r="C272" s="26">
        <v>45798</v>
      </c>
      <c r="D272" s="16" t="s">
        <v>8</v>
      </c>
      <c r="E272" s="27" t="s">
        <v>4</v>
      </c>
      <c r="F272" s="27" t="s">
        <v>28</v>
      </c>
      <c r="G272" s="88">
        <v>156000</v>
      </c>
    </row>
    <row r="273" spans="3:7" ht="27.75" customHeight="1" x14ac:dyDescent="0.25">
      <c r="C273" s="26">
        <v>45799</v>
      </c>
      <c r="D273" s="16" t="s">
        <v>8</v>
      </c>
      <c r="E273" s="27" t="s">
        <v>4</v>
      </c>
      <c r="F273" s="27" t="s">
        <v>28</v>
      </c>
      <c r="G273" s="88">
        <v>139000</v>
      </c>
    </row>
    <row r="274" spans="3:7" ht="27.75" customHeight="1" x14ac:dyDescent="0.25">
      <c r="C274" s="26">
        <v>45800</v>
      </c>
      <c r="D274" s="16" t="s">
        <v>9</v>
      </c>
      <c r="E274" s="27" t="s">
        <v>12</v>
      </c>
      <c r="F274" s="27" t="s">
        <v>46</v>
      </c>
      <c r="G274" s="88">
        <v>115000</v>
      </c>
    </row>
    <row r="275" spans="3:7" ht="27.75" customHeight="1" x14ac:dyDescent="0.25">
      <c r="C275" s="26">
        <v>45800</v>
      </c>
      <c r="D275" s="16" t="s">
        <v>10</v>
      </c>
      <c r="E275" s="27" t="s">
        <v>18</v>
      </c>
      <c r="F275" s="27" t="s">
        <v>54</v>
      </c>
      <c r="G275" s="88">
        <v>150000</v>
      </c>
    </row>
    <row r="276" spans="3:7" ht="27.75" customHeight="1" x14ac:dyDescent="0.25">
      <c r="C276" s="26">
        <v>45801</v>
      </c>
      <c r="D276" s="16" t="s">
        <v>6</v>
      </c>
      <c r="E276" s="27" t="s">
        <v>5</v>
      </c>
      <c r="F276" s="27" t="s">
        <v>27</v>
      </c>
      <c r="G276" s="88">
        <v>49000</v>
      </c>
    </row>
    <row r="277" spans="3:7" ht="27.75" customHeight="1" x14ac:dyDescent="0.25">
      <c r="C277" s="26">
        <v>45802</v>
      </c>
      <c r="D277" s="16" t="s">
        <v>8</v>
      </c>
      <c r="E277" s="27" t="s">
        <v>13</v>
      </c>
      <c r="F277" s="27" t="s">
        <v>30</v>
      </c>
      <c r="G277" s="88">
        <v>64000</v>
      </c>
    </row>
    <row r="278" spans="3:7" ht="27.75" customHeight="1" x14ac:dyDescent="0.25">
      <c r="C278" s="26">
        <v>45802</v>
      </c>
      <c r="D278" s="16" t="s">
        <v>8</v>
      </c>
      <c r="E278" s="27" t="s">
        <v>4</v>
      </c>
      <c r="F278" s="27" t="s">
        <v>28</v>
      </c>
      <c r="G278" s="88">
        <v>134000</v>
      </c>
    </row>
    <row r="279" spans="3:7" ht="27.75" customHeight="1" x14ac:dyDescent="0.25">
      <c r="C279" s="26">
        <v>45804</v>
      </c>
      <c r="D279" s="16" t="s">
        <v>8</v>
      </c>
      <c r="E279" s="27" t="s">
        <v>4</v>
      </c>
      <c r="F279" s="27" t="s">
        <v>28</v>
      </c>
      <c r="G279" s="88">
        <v>114000</v>
      </c>
    </row>
    <row r="280" spans="3:7" ht="27.75" customHeight="1" x14ac:dyDescent="0.25">
      <c r="C280" s="26">
        <v>45805</v>
      </c>
      <c r="D280" s="16" t="s">
        <v>6</v>
      </c>
      <c r="E280" s="27" t="s">
        <v>5</v>
      </c>
      <c r="F280" s="27" t="s">
        <v>27</v>
      </c>
      <c r="G280" s="88">
        <v>59000</v>
      </c>
    </row>
    <row r="281" spans="3:7" ht="27.75" customHeight="1" x14ac:dyDescent="0.25">
      <c r="C281" s="26">
        <v>45806</v>
      </c>
      <c r="D281" s="16" t="s">
        <v>8</v>
      </c>
      <c r="E281" s="27" t="s">
        <v>4</v>
      </c>
      <c r="F281" s="27" t="s">
        <v>28</v>
      </c>
      <c r="G281" s="88">
        <v>117000</v>
      </c>
    </row>
    <row r="282" spans="3:7" ht="27.75" customHeight="1" x14ac:dyDescent="0.25">
      <c r="C282" s="26">
        <v>45806</v>
      </c>
      <c r="D282" s="16" t="s">
        <v>6</v>
      </c>
      <c r="E282" s="27" t="s">
        <v>5</v>
      </c>
      <c r="F282" s="27" t="s">
        <v>27</v>
      </c>
      <c r="G282" s="88">
        <v>59000</v>
      </c>
    </row>
    <row r="283" spans="3:7" ht="27.75" customHeight="1" x14ac:dyDescent="0.25">
      <c r="C283" s="26">
        <v>45807</v>
      </c>
      <c r="D283" s="16" t="s">
        <v>8</v>
      </c>
      <c r="E283" s="27" t="s">
        <v>4</v>
      </c>
      <c r="F283" s="27" t="s">
        <v>28</v>
      </c>
      <c r="G283" s="88">
        <v>129000</v>
      </c>
    </row>
    <row r="284" spans="3:7" ht="27.75" customHeight="1" x14ac:dyDescent="0.25">
      <c r="C284" s="26">
        <v>45807</v>
      </c>
      <c r="D284" s="16" t="s">
        <v>6</v>
      </c>
      <c r="E284" s="27" t="s">
        <v>5</v>
      </c>
      <c r="F284" s="27" t="s">
        <v>27</v>
      </c>
      <c r="G284" s="88">
        <v>57000</v>
      </c>
    </row>
    <row r="285" spans="3:7" ht="27.75" customHeight="1" x14ac:dyDescent="0.25">
      <c r="C285" s="26">
        <v>45809</v>
      </c>
      <c r="D285" s="16" t="s">
        <v>6</v>
      </c>
      <c r="E285" s="27" t="s">
        <v>2</v>
      </c>
      <c r="F285" s="27" t="s">
        <v>2</v>
      </c>
      <c r="G285" s="88">
        <v>1600000</v>
      </c>
    </row>
    <row r="286" spans="3:7" ht="27.75" customHeight="1" x14ac:dyDescent="0.25">
      <c r="C286" s="26">
        <v>45809</v>
      </c>
      <c r="D286" s="16" t="s">
        <v>6</v>
      </c>
      <c r="E286" s="27" t="s">
        <v>3</v>
      </c>
      <c r="F286" s="27" t="s">
        <v>36</v>
      </c>
      <c r="G286" s="88">
        <v>36000</v>
      </c>
    </row>
    <row r="287" spans="3:7" ht="27.75" customHeight="1" x14ac:dyDescent="0.25">
      <c r="C287" s="26">
        <v>45810</v>
      </c>
      <c r="D287" s="16" t="s">
        <v>6</v>
      </c>
      <c r="E287" s="27" t="s">
        <v>3</v>
      </c>
      <c r="F287" s="27" t="s">
        <v>33</v>
      </c>
      <c r="G287" s="88">
        <v>479000</v>
      </c>
    </row>
    <row r="288" spans="3:7" ht="27.75" customHeight="1" x14ac:dyDescent="0.25">
      <c r="C288" s="26">
        <v>45810</v>
      </c>
      <c r="D288" s="16" t="s">
        <v>6</v>
      </c>
      <c r="E288" s="27" t="s">
        <v>3</v>
      </c>
      <c r="F288" s="27" t="s">
        <v>34</v>
      </c>
      <c r="G288" s="88">
        <v>106000</v>
      </c>
    </row>
    <row r="289" spans="3:7" ht="27.75" customHeight="1" x14ac:dyDescent="0.25">
      <c r="C289" s="26">
        <v>45810</v>
      </c>
      <c r="D289" s="16" t="s">
        <v>8</v>
      </c>
      <c r="E289" s="27" t="s">
        <v>14</v>
      </c>
      <c r="F289" s="27" t="s">
        <v>37</v>
      </c>
      <c r="G289" s="88">
        <v>240000</v>
      </c>
    </row>
    <row r="290" spans="3:7" ht="27.75" customHeight="1" x14ac:dyDescent="0.25">
      <c r="C290" s="26">
        <v>45810</v>
      </c>
      <c r="D290" s="16" t="s">
        <v>9</v>
      </c>
      <c r="E290" s="27" t="s">
        <v>17</v>
      </c>
      <c r="F290" s="27" t="s">
        <v>44</v>
      </c>
      <c r="G290" s="88">
        <v>63000</v>
      </c>
    </row>
    <row r="291" spans="3:7" ht="27.75" customHeight="1" x14ac:dyDescent="0.25">
      <c r="C291" s="26">
        <v>45811</v>
      </c>
      <c r="D291" s="16" t="s">
        <v>6</v>
      </c>
      <c r="E291" s="27" t="s">
        <v>3</v>
      </c>
      <c r="F291" s="27" t="s">
        <v>35</v>
      </c>
      <c r="G291" s="88">
        <v>197000</v>
      </c>
    </row>
    <row r="292" spans="3:7" ht="27.75" customHeight="1" x14ac:dyDescent="0.25">
      <c r="C292" s="26">
        <v>45811</v>
      </c>
      <c r="D292" s="16" t="s">
        <v>6</v>
      </c>
      <c r="E292" s="27" t="s">
        <v>5</v>
      </c>
      <c r="F292" s="27" t="s">
        <v>27</v>
      </c>
      <c r="G292" s="88">
        <v>63000</v>
      </c>
    </row>
    <row r="293" spans="3:7" ht="27.75" customHeight="1" x14ac:dyDescent="0.25">
      <c r="C293" s="26">
        <v>45811</v>
      </c>
      <c r="D293" s="16" t="s">
        <v>8</v>
      </c>
      <c r="E293" s="27" t="s">
        <v>4</v>
      </c>
      <c r="F293" s="27" t="s">
        <v>28</v>
      </c>
      <c r="G293" s="88">
        <v>169000</v>
      </c>
    </row>
    <row r="294" spans="3:7" ht="27.75" customHeight="1" x14ac:dyDescent="0.25">
      <c r="C294" s="26">
        <v>45811</v>
      </c>
      <c r="D294" s="16" t="s">
        <v>9</v>
      </c>
      <c r="E294" s="27" t="s">
        <v>12</v>
      </c>
      <c r="F294" s="27" t="s">
        <v>45</v>
      </c>
      <c r="G294" s="88">
        <v>135000</v>
      </c>
    </row>
    <row r="295" spans="3:7" ht="27.75" customHeight="1" x14ac:dyDescent="0.25">
      <c r="C295" s="26">
        <v>45811</v>
      </c>
      <c r="D295" s="16" t="s">
        <v>11</v>
      </c>
      <c r="E295" s="27" t="s">
        <v>20</v>
      </c>
      <c r="F295" s="27" t="s">
        <v>29</v>
      </c>
      <c r="G295" s="88">
        <v>500000</v>
      </c>
    </row>
    <row r="296" spans="3:7" ht="27.75" customHeight="1" x14ac:dyDescent="0.25">
      <c r="C296" s="26">
        <v>45812</v>
      </c>
      <c r="D296" s="16" t="s">
        <v>8</v>
      </c>
      <c r="E296" s="27" t="s">
        <v>4</v>
      </c>
      <c r="F296" s="27" t="s">
        <v>28</v>
      </c>
      <c r="G296" s="88">
        <v>104000</v>
      </c>
    </row>
    <row r="297" spans="3:7" ht="27.75" customHeight="1" x14ac:dyDescent="0.25">
      <c r="C297" s="26">
        <v>45812</v>
      </c>
      <c r="D297" s="16" t="s">
        <v>6</v>
      </c>
      <c r="E297" s="27" t="s">
        <v>5</v>
      </c>
      <c r="F297" s="27" t="s">
        <v>27</v>
      </c>
      <c r="G297" s="88">
        <v>55000</v>
      </c>
    </row>
    <row r="298" spans="3:7" ht="27.75" customHeight="1" x14ac:dyDescent="0.25">
      <c r="C298" s="26">
        <v>45813</v>
      </c>
      <c r="D298" s="16" t="s">
        <v>8</v>
      </c>
      <c r="E298" s="27" t="s">
        <v>13</v>
      </c>
      <c r="F298" s="27" t="s">
        <v>38</v>
      </c>
      <c r="G298" s="88">
        <v>95000</v>
      </c>
    </row>
    <row r="299" spans="3:7" ht="27.75" customHeight="1" x14ac:dyDescent="0.25">
      <c r="C299" s="26">
        <v>45813</v>
      </c>
      <c r="D299" s="16" t="s">
        <v>8</v>
      </c>
      <c r="E299" s="27" t="s">
        <v>4</v>
      </c>
      <c r="F299" s="27" t="s">
        <v>28</v>
      </c>
      <c r="G299" s="88">
        <v>107000</v>
      </c>
    </row>
    <row r="300" spans="3:7" ht="27.75" customHeight="1" x14ac:dyDescent="0.25">
      <c r="C300" s="26">
        <v>45813</v>
      </c>
      <c r="D300" s="16" t="s">
        <v>9</v>
      </c>
      <c r="E300" s="27" t="s">
        <v>17</v>
      </c>
      <c r="F300" s="27" t="s">
        <v>44</v>
      </c>
      <c r="G300" s="88">
        <v>81000</v>
      </c>
    </row>
    <row r="301" spans="3:7" ht="27.75" customHeight="1" x14ac:dyDescent="0.25">
      <c r="C301" s="26">
        <v>45813</v>
      </c>
      <c r="D301" s="16" t="s">
        <v>9</v>
      </c>
      <c r="E301" s="27" t="s">
        <v>15</v>
      </c>
      <c r="F301" s="27" t="s">
        <v>41</v>
      </c>
      <c r="G301" s="88">
        <v>500000</v>
      </c>
    </row>
    <row r="302" spans="3:7" ht="27.75" customHeight="1" x14ac:dyDescent="0.25">
      <c r="C302" s="26">
        <v>45814</v>
      </c>
      <c r="D302" s="16" t="s">
        <v>9</v>
      </c>
      <c r="E302" s="27" t="s">
        <v>12</v>
      </c>
      <c r="F302" s="27" t="s">
        <v>52</v>
      </c>
      <c r="G302" s="88">
        <v>53000</v>
      </c>
    </row>
    <row r="303" spans="3:7" ht="27.75" customHeight="1" x14ac:dyDescent="0.25">
      <c r="C303" s="26">
        <v>45814</v>
      </c>
      <c r="D303" s="16" t="s">
        <v>11</v>
      </c>
      <c r="E303" s="27" t="s">
        <v>21</v>
      </c>
      <c r="F303" s="27" t="s">
        <v>48</v>
      </c>
      <c r="G303" s="88">
        <v>1000000</v>
      </c>
    </row>
    <row r="304" spans="3:7" ht="27.75" customHeight="1" x14ac:dyDescent="0.25">
      <c r="C304" s="26">
        <v>45815</v>
      </c>
      <c r="D304" s="16" t="s">
        <v>6</v>
      </c>
      <c r="E304" s="27" t="s">
        <v>5</v>
      </c>
      <c r="F304" s="27" t="s">
        <v>27</v>
      </c>
      <c r="G304" s="88">
        <v>55000</v>
      </c>
    </row>
    <row r="305" spans="3:7" ht="27.75" customHeight="1" x14ac:dyDescent="0.25">
      <c r="C305" s="26">
        <v>45815</v>
      </c>
      <c r="D305" s="16" t="s">
        <v>6</v>
      </c>
      <c r="E305" s="27" t="s">
        <v>5</v>
      </c>
      <c r="F305" s="27" t="s">
        <v>50</v>
      </c>
      <c r="G305" s="88">
        <v>105000</v>
      </c>
    </row>
    <row r="306" spans="3:7" ht="27.75" customHeight="1" x14ac:dyDescent="0.25">
      <c r="C306" s="26">
        <v>45815</v>
      </c>
      <c r="D306" s="16" t="s">
        <v>6</v>
      </c>
      <c r="E306" s="27" t="s">
        <v>5</v>
      </c>
      <c r="F306" s="27" t="s">
        <v>51</v>
      </c>
      <c r="G306" s="88">
        <v>24000</v>
      </c>
    </row>
    <row r="307" spans="3:7" ht="27.75" customHeight="1" x14ac:dyDescent="0.25">
      <c r="C307" s="26">
        <v>45815</v>
      </c>
      <c r="D307" s="16" t="s">
        <v>8</v>
      </c>
      <c r="E307" s="27" t="s">
        <v>4</v>
      </c>
      <c r="F307" s="27" t="s">
        <v>28</v>
      </c>
      <c r="G307" s="88">
        <v>113000</v>
      </c>
    </row>
    <row r="308" spans="3:7" ht="27.75" customHeight="1" x14ac:dyDescent="0.25">
      <c r="C308" s="26">
        <v>45815</v>
      </c>
      <c r="D308" s="16" t="s">
        <v>9</v>
      </c>
      <c r="E308" s="27" t="s">
        <v>16</v>
      </c>
      <c r="F308" s="27" t="s">
        <v>42</v>
      </c>
      <c r="G308" s="88">
        <v>210000</v>
      </c>
    </row>
    <row r="309" spans="3:7" ht="27.75" customHeight="1" x14ac:dyDescent="0.25">
      <c r="C309" s="26">
        <v>45816</v>
      </c>
      <c r="D309" s="16" t="s">
        <v>9</v>
      </c>
      <c r="E309" s="27" t="s">
        <v>17</v>
      </c>
      <c r="F309" s="27" t="s">
        <v>44</v>
      </c>
      <c r="G309" s="88">
        <v>58000</v>
      </c>
    </row>
    <row r="310" spans="3:7" ht="27.75" customHeight="1" x14ac:dyDescent="0.25">
      <c r="C310" s="26">
        <v>45817</v>
      </c>
      <c r="D310" s="16" t="s">
        <v>6</v>
      </c>
      <c r="E310" s="27" t="s">
        <v>5</v>
      </c>
      <c r="F310" s="27" t="s">
        <v>27</v>
      </c>
      <c r="G310" s="88">
        <v>44000</v>
      </c>
    </row>
    <row r="311" spans="3:7" ht="27.75" customHeight="1" x14ac:dyDescent="0.25">
      <c r="C311" s="26">
        <v>45817</v>
      </c>
      <c r="D311" s="16" t="s">
        <v>8</v>
      </c>
      <c r="E311" s="27" t="s">
        <v>4</v>
      </c>
      <c r="F311" s="27" t="s">
        <v>28</v>
      </c>
      <c r="G311" s="88">
        <v>127000</v>
      </c>
    </row>
    <row r="312" spans="3:7" ht="27.75" customHeight="1" x14ac:dyDescent="0.25">
      <c r="C312" s="26">
        <v>45818</v>
      </c>
      <c r="D312" s="16" t="s">
        <v>8</v>
      </c>
      <c r="E312" s="27" t="s">
        <v>13</v>
      </c>
      <c r="F312" s="27" t="s">
        <v>30</v>
      </c>
      <c r="G312" s="88">
        <v>66000</v>
      </c>
    </row>
    <row r="313" spans="3:7" ht="27.75" customHeight="1" x14ac:dyDescent="0.25">
      <c r="C313" s="26">
        <v>45819</v>
      </c>
      <c r="D313" s="16" t="s">
        <v>9</v>
      </c>
      <c r="E313" s="27" t="s">
        <v>16</v>
      </c>
      <c r="F313" s="27" t="s">
        <v>43</v>
      </c>
      <c r="G313" s="88">
        <v>220000</v>
      </c>
    </row>
    <row r="314" spans="3:7" ht="27.75" customHeight="1" x14ac:dyDescent="0.25">
      <c r="C314" s="26">
        <v>45819</v>
      </c>
      <c r="D314" s="16" t="s">
        <v>8</v>
      </c>
      <c r="E314" s="27" t="s">
        <v>4</v>
      </c>
      <c r="F314" s="27" t="s">
        <v>28</v>
      </c>
      <c r="G314" s="88">
        <v>145000</v>
      </c>
    </row>
    <row r="315" spans="3:7" ht="27.75" customHeight="1" x14ac:dyDescent="0.25">
      <c r="C315" s="26">
        <v>45819</v>
      </c>
      <c r="D315" s="16" t="s">
        <v>9</v>
      </c>
      <c r="E315" s="27" t="s">
        <v>17</v>
      </c>
      <c r="F315" s="27" t="s">
        <v>44</v>
      </c>
      <c r="G315" s="88">
        <v>61000</v>
      </c>
    </row>
    <row r="316" spans="3:7" ht="27.75" customHeight="1" x14ac:dyDescent="0.25">
      <c r="C316" s="26">
        <v>45820</v>
      </c>
      <c r="D316" s="16" t="s">
        <v>9</v>
      </c>
      <c r="E316" s="27" t="s">
        <v>12</v>
      </c>
      <c r="F316" s="27" t="s">
        <v>47</v>
      </c>
      <c r="G316" s="88">
        <v>116000</v>
      </c>
    </row>
    <row r="317" spans="3:7" ht="27.75" customHeight="1" x14ac:dyDescent="0.25">
      <c r="C317" s="26">
        <v>45821</v>
      </c>
      <c r="D317" s="16" t="s">
        <v>8</v>
      </c>
      <c r="E317" s="27" t="s">
        <v>4</v>
      </c>
      <c r="F317" s="27" t="s">
        <v>28</v>
      </c>
      <c r="G317" s="88">
        <v>175000</v>
      </c>
    </row>
    <row r="318" spans="3:7" ht="27.75" customHeight="1" x14ac:dyDescent="0.25">
      <c r="C318" s="26">
        <v>45821</v>
      </c>
      <c r="D318" s="16" t="s">
        <v>10</v>
      </c>
      <c r="E318" s="27" t="s">
        <v>19</v>
      </c>
      <c r="F318" s="27" t="s">
        <v>53</v>
      </c>
      <c r="G318" s="88">
        <v>500000</v>
      </c>
    </row>
    <row r="319" spans="3:7" ht="27.75" customHeight="1" x14ac:dyDescent="0.25">
      <c r="C319" s="26">
        <v>45822</v>
      </c>
      <c r="D319" s="16" t="s">
        <v>9</v>
      </c>
      <c r="E319" s="27" t="s">
        <v>17</v>
      </c>
      <c r="F319" s="27" t="s">
        <v>44</v>
      </c>
      <c r="G319" s="88">
        <v>56000</v>
      </c>
    </row>
    <row r="320" spans="3:7" ht="27.75" customHeight="1" x14ac:dyDescent="0.25">
      <c r="C320" s="26">
        <v>45823</v>
      </c>
      <c r="D320" s="16" t="s">
        <v>6</v>
      </c>
      <c r="E320" s="27" t="s">
        <v>5</v>
      </c>
      <c r="F320" s="27" t="s">
        <v>27</v>
      </c>
      <c r="G320" s="88">
        <v>59000</v>
      </c>
    </row>
    <row r="321" spans="3:7" ht="27.75" customHeight="1" x14ac:dyDescent="0.25">
      <c r="C321" s="26">
        <v>45823</v>
      </c>
      <c r="D321" s="16" t="s">
        <v>8</v>
      </c>
      <c r="E321" s="27" t="s">
        <v>14</v>
      </c>
      <c r="F321" s="27" t="s">
        <v>40</v>
      </c>
      <c r="G321" s="88">
        <v>112000</v>
      </c>
    </row>
    <row r="322" spans="3:7" ht="27.75" customHeight="1" x14ac:dyDescent="0.25">
      <c r="C322" s="26">
        <v>45824</v>
      </c>
      <c r="D322" s="16" t="s">
        <v>8</v>
      </c>
      <c r="E322" s="27" t="s">
        <v>4</v>
      </c>
      <c r="F322" s="27" t="s">
        <v>28</v>
      </c>
      <c r="G322" s="88">
        <v>182000</v>
      </c>
    </row>
    <row r="323" spans="3:7" ht="27.75" customHeight="1" x14ac:dyDescent="0.25">
      <c r="C323" s="26">
        <v>45825</v>
      </c>
      <c r="D323" s="16" t="s">
        <v>8</v>
      </c>
      <c r="E323" s="27" t="s">
        <v>4</v>
      </c>
      <c r="F323" s="27" t="s">
        <v>28</v>
      </c>
      <c r="G323" s="88">
        <v>158000</v>
      </c>
    </row>
    <row r="324" spans="3:7" ht="27.75" customHeight="1" x14ac:dyDescent="0.25">
      <c r="C324" s="26">
        <v>45826</v>
      </c>
      <c r="D324" s="16" t="s">
        <v>9</v>
      </c>
      <c r="E324" s="27" t="s">
        <v>17</v>
      </c>
      <c r="F324" s="27" t="s">
        <v>44</v>
      </c>
      <c r="G324" s="88">
        <v>70000</v>
      </c>
    </row>
    <row r="325" spans="3:7" ht="27.75" customHeight="1" x14ac:dyDescent="0.25">
      <c r="C325" s="26">
        <v>45827</v>
      </c>
      <c r="D325" s="16" t="s">
        <v>8</v>
      </c>
      <c r="E325" s="27" t="s">
        <v>4</v>
      </c>
      <c r="F325" s="27" t="s">
        <v>28</v>
      </c>
      <c r="G325" s="88">
        <v>104000</v>
      </c>
    </row>
    <row r="326" spans="3:7" ht="27.75" customHeight="1" x14ac:dyDescent="0.25">
      <c r="C326" s="26">
        <v>45828</v>
      </c>
      <c r="D326" s="16" t="s">
        <v>6</v>
      </c>
      <c r="E326" s="27" t="s">
        <v>5</v>
      </c>
      <c r="F326" s="27" t="s">
        <v>27</v>
      </c>
      <c r="G326" s="88">
        <v>50000</v>
      </c>
    </row>
    <row r="327" spans="3:7" ht="27.75" customHeight="1" x14ac:dyDescent="0.25">
      <c r="C327" s="26">
        <v>45828</v>
      </c>
      <c r="D327" s="16" t="s">
        <v>8</v>
      </c>
      <c r="E327" s="27" t="s">
        <v>13</v>
      </c>
      <c r="F327" s="27" t="s">
        <v>39</v>
      </c>
      <c r="G327" s="88">
        <v>72000</v>
      </c>
    </row>
    <row r="328" spans="3:7" ht="27.75" customHeight="1" x14ac:dyDescent="0.25">
      <c r="C328" s="26">
        <v>45828</v>
      </c>
      <c r="D328" s="16" t="s">
        <v>9</v>
      </c>
      <c r="E328" s="27" t="s">
        <v>17</v>
      </c>
      <c r="F328" s="27" t="s">
        <v>44</v>
      </c>
      <c r="G328" s="88">
        <v>54000</v>
      </c>
    </row>
    <row r="329" spans="3:7" ht="27.75" customHeight="1" x14ac:dyDescent="0.25">
      <c r="C329" s="26">
        <v>45829</v>
      </c>
      <c r="D329" s="16" t="s">
        <v>8</v>
      </c>
      <c r="E329" s="27" t="s">
        <v>4</v>
      </c>
      <c r="F329" s="27" t="s">
        <v>28</v>
      </c>
      <c r="G329" s="88">
        <v>160000</v>
      </c>
    </row>
    <row r="330" spans="3:7" ht="27.75" customHeight="1" x14ac:dyDescent="0.25">
      <c r="C330" s="26">
        <v>45830</v>
      </c>
      <c r="D330" s="16" t="s">
        <v>8</v>
      </c>
      <c r="E330" s="27" t="s">
        <v>4</v>
      </c>
      <c r="F330" s="27" t="s">
        <v>28</v>
      </c>
      <c r="G330" s="88">
        <v>133000</v>
      </c>
    </row>
    <row r="331" spans="3:7" ht="27.75" customHeight="1" x14ac:dyDescent="0.25">
      <c r="C331" s="26">
        <v>45831</v>
      </c>
      <c r="D331" s="16" t="s">
        <v>9</v>
      </c>
      <c r="E331" s="27" t="s">
        <v>12</v>
      </c>
      <c r="F331" s="27" t="s">
        <v>46</v>
      </c>
      <c r="G331" s="88">
        <v>114000</v>
      </c>
    </row>
    <row r="332" spans="3:7" ht="27.75" customHeight="1" x14ac:dyDescent="0.25">
      <c r="C332" s="26">
        <v>45831</v>
      </c>
      <c r="D332" s="16" t="s">
        <v>10</v>
      </c>
      <c r="E332" s="27" t="s">
        <v>18</v>
      </c>
      <c r="F332" s="27" t="s">
        <v>54</v>
      </c>
      <c r="G332" s="88">
        <v>258000</v>
      </c>
    </row>
    <row r="333" spans="3:7" ht="27.75" customHeight="1" x14ac:dyDescent="0.25">
      <c r="C333" s="26">
        <v>45832</v>
      </c>
      <c r="D333" s="16" t="s">
        <v>6</v>
      </c>
      <c r="E333" s="27" t="s">
        <v>5</v>
      </c>
      <c r="F333" s="27" t="s">
        <v>27</v>
      </c>
      <c r="G333" s="88">
        <v>51000</v>
      </c>
    </row>
    <row r="334" spans="3:7" ht="27.75" customHeight="1" x14ac:dyDescent="0.25">
      <c r="C334" s="26">
        <v>45833</v>
      </c>
      <c r="D334" s="16" t="s">
        <v>8</v>
      </c>
      <c r="E334" s="27" t="s">
        <v>13</v>
      </c>
      <c r="F334" s="27" t="s">
        <v>30</v>
      </c>
      <c r="G334" s="88">
        <v>71000</v>
      </c>
    </row>
    <row r="335" spans="3:7" ht="27.75" customHeight="1" x14ac:dyDescent="0.25">
      <c r="C335" s="26">
        <v>45833</v>
      </c>
      <c r="D335" s="16" t="s">
        <v>8</v>
      </c>
      <c r="E335" s="27" t="s">
        <v>4</v>
      </c>
      <c r="F335" s="27" t="s">
        <v>28</v>
      </c>
      <c r="G335" s="88">
        <v>142000</v>
      </c>
    </row>
    <row r="336" spans="3:7" ht="27.75" customHeight="1" x14ac:dyDescent="0.25">
      <c r="C336" s="26">
        <v>45835</v>
      </c>
      <c r="D336" s="16" t="s">
        <v>8</v>
      </c>
      <c r="E336" s="27" t="s">
        <v>4</v>
      </c>
      <c r="F336" s="27" t="s">
        <v>28</v>
      </c>
      <c r="G336" s="88">
        <v>119000</v>
      </c>
    </row>
    <row r="337" spans="3:7" ht="27.75" customHeight="1" x14ac:dyDescent="0.25">
      <c r="C337" s="26">
        <v>45836</v>
      </c>
      <c r="D337" s="16" t="s">
        <v>6</v>
      </c>
      <c r="E337" s="27" t="s">
        <v>5</v>
      </c>
      <c r="F337" s="27" t="s">
        <v>27</v>
      </c>
      <c r="G337" s="88">
        <v>56000</v>
      </c>
    </row>
    <row r="338" spans="3:7" ht="27.75" customHeight="1" x14ac:dyDescent="0.25">
      <c r="C338" s="26">
        <v>45837</v>
      </c>
      <c r="D338" s="16" t="s">
        <v>8</v>
      </c>
      <c r="E338" s="27" t="s">
        <v>4</v>
      </c>
      <c r="F338" s="27" t="s">
        <v>28</v>
      </c>
      <c r="G338" s="88">
        <v>124000</v>
      </c>
    </row>
    <row r="339" spans="3:7" ht="27.75" customHeight="1" x14ac:dyDescent="0.25">
      <c r="C339" s="26">
        <v>45837</v>
      </c>
      <c r="D339" s="16" t="s">
        <v>6</v>
      </c>
      <c r="E339" s="27" t="s">
        <v>5</v>
      </c>
      <c r="F339" s="27" t="s">
        <v>27</v>
      </c>
      <c r="G339" s="88">
        <v>57000</v>
      </c>
    </row>
    <row r="340" spans="3:7" ht="27.75" customHeight="1" x14ac:dyDescent="0.25">
      <c r="C340" s="26">
        <v>45838</v>
      </c>
      <c r="D340" s="16" t="s">
        <v>8</v>
      </c>
      <c r="E340" s="27" t="s">
        <v>4</v>
      </c>
      <c r="F340" s="27" t="s">
        <v>28</v>
      </c>
      <c r="G340" s="88">
        <v>131000</v>
      </c>
    </row>
    <row r="341" spans="3:7" ht="27.75" customHeight="1" x14ac:dyDescent="0.25">
      <c r="C341" s="26">
        <v>45838</v>
      </c>
      <c r="D341" s="16" t="s">
        <v>6</v>
      </c>
      <c r="E341" s="27" t="s">
        <v>5</v>
      </c>
      <c r="F341" s="27" t="s">
        <v>27</v>
      </c>
      <c r="G341" s="88">
        <v>59000</v>
      </c>
    </row>
    <row r="342" spans="3:7" ht="27.75" customHeight="1" x14ac:dyDescent="0.25">
      <c r="C342" s="26">
        <v>45839</v>
      </c>
      <c r="D342" s="16" t="s">
        <v>6</v>
      </c>
      <c r="E342" s="27" t="s">
        <v>2</v>
      </c>
      <c r="F342" s="27" t="s">
        <v>2</v>
      </c>
      <c r="G342" s="88">
        <v>1600000</v>
      </c>
    </row>
    <row r="343" spans="3:7" ht="27.75" customHeight="1" x14ac:dyDescent="0.25">
      <c r="C343" s="26">
        <v>45839</v>
      </c>
      <c r="D343" s="16" t="s">
        <v>6</v>
      </c>
      <c r="E343" s="27" t="s">
        <v>3</v>
      </c>
      <c r="F343" s="27" t="s">
        <v>36</v>
      </c>
      <c r="G343" s="88">
        <v>37000</v>
      </c>
    </row>
    <row r="344" spans="3:7" ht="27.75" customHeight="1" x14ac:dyDescent="0.25">
      <c r="C344" s="26">
        <v>45840</v>
      </c>
      <c r="D344" s="16" t="s">
        <v>6</v>
      </c>
      <c r="E344" s="27" t="s">
        <v>3</v>
      </c>
      <c r="F344" s="27" t="s">
        <v>33</v>
      </c>
      <c r="G344" s="88">
        <v>489000</v>
      </c>
    </row>
    <row r="345" spans="3:7" ht="27.75" customHeight="1" x14ac:dyDescent="0.25">
      <c r="C345" s="26">
        <v>45840</v>
      </c>
      <c r="D345" s="16" t="s">
        <v>6</v>
      </c>
      <c r="E345" s="27" t="s">
        <v>3</v>
      </c>
      <c r="F345" s="27" t="s">
        <v>34</v>
      </c>
      <c r="G345" s="88">
        <v>113000</v>
      </c>
    </row>
    <row r="346" spans="3:7" ht="27.75" customHeight="1" x14ac:dyDescent="0.25">
      <c r="C346" s="26">
        <v>45840</v>
      </c>
      <c r="D346" s="16" t="s">
        <v>8</v>
      </c>
      <c r="E346" s="27" t="s">
        <v>14</v>
      </c>
      <c r="F346" s="27" t="s">
        <v>37</v>
      </c>
      <c r="G346" s="88">
        <v>180000</v>
      </c>
    </row>
    <row r="347" spans="3:7" ht="27.75" customHeight="1" x14ac:dyDescent="0.25">
      <c r="C347" s="26">
        <v>45840</v>
      </c>
      <c r="D347" s="16" t="s">
        <v>9</v>
      </c>
      <c r="E347" s="27" t="s">
        <v>17</v>
      </c>
      <c r="F347" s="27" t="s">
        <v>44</v>
      </c>
      <c r="G347" s="88">
        <v>64000</v>
      </c>
    </row>
    <row r="348" spans="3:7" ht="27.75" customHeight="1" x14ac:dyDescent="0.25">
      <c r="C348" s="26">
        <v>45841</v>
      </c>
      <c r="D348" s="16" t="s">
        <v>6</v>
      </c>
      <c r="E348" s="27" t="s">
        <v>3</v>
      </c>
      <c r="F348" s="27" t="s">
        <v>35</v>
      </c>
      <c r="G348" s="88">
        <v>200000</v>
      </c>
    </row>
    <row r="349" spans="3:7" ht="27.75" customHeight="1" x14ac:dyDescent="0.25">
      <c r="C349" s="26">
        <v>45841</v>
      </c>
      <c r="D349" s="16" t="s">
        <v>6</v>
      </c>
      <c r="E349" s="27" t="s">
        <v>5</v>
      </c>
      <c r="F349" s="27" t="s">
        <v>27</v>
      </c>
      <c r="G349" s="88">
        <v>59000</v>
      </c>
    </row>
    <row r="350" spans="3:7" ht="27.75" customHeight="1" x14ac:dyDescent="0.25">
      <c r="C350" s="26">
        <v>45841</v>
      </c>
      <c r="D350" s="16" t="s">
        <v>8</v>
      </c>
      <c r="E350" s="27" t="s">
        <v>4</v>
      </c>
      <c r="F350" s="27" t="s">
        <v>28</v>
      </c>
      <c r="G350" s="88">
        <v>169000</v>
      </c>
    </row>
    <row r="351" spans="3:7" ht="27.75" customHeight="1" x14ac:dyDescent="0.25">
      <c r="C351" s="26">
        <v>45841</v>
      </c>
      <c r="D351" s="16" t="s">
        <v>9</v>
      </c>
      <c r="E351" s="27" t="s">
        <v>12</v>
      </c>
      <c r="F351" s="27" t="s">
        <v>45</v>
      </c>
      <c r="G351" s="88">
        <v>150000</v>
      </c>
    </row>
    <row r="352" spans="3:7" ht="27.75" customHeight="1" x14ac:dyDescent="0.25">
      <c r="C352" s="26">
        <v>45841</v>
      </c>
      <c r="D352" s="16" t="s">
        <v>11</v>
      </c>
      <c r="E352" s="27" t="s">
        <v>20</v>
      </c>
      <c r="F352" s="27" t="s">
        <v>29</v>
      </c>
      <c r="G352" s="88">
        <v>1000000</v>
      </c>
    </row>
    <row r="353" spans="3:7" ht="27.75" customHeight="1" x14ac:dyDescent="0.25">
      <c r="C353" s="26">
        <v>45842</v>
      </c>
      <c r="D353" s="16" t="s">
        <v>8</v>
      </c>
      <c r="E353" s="27" t="s">
        <v>4</v>
      </c>
      <c r="F353" s="27" t="s">
        <v>28</v>
      </c>
      <c r="G353" s="88">
        <v>109000</v>
      </c>
    </row>
    <row r="354" spans="3:7" ht="27.75" customHeight="1" x14ac:dyDescent="0.25">
      <c r="C354" s="26">
        <v>45842</v>
      </c>
      <c r="D354" s="16" t="s">
        <v>6</v>
      </c>
      <c r="E354" s="27" t="s">
        <v>5</v>
      </c>
      <c r="F354" s="27" t="s">
        <v>27</v>
      </c>
      <c r="G354" s="88">
        <v>56000</v>
      </c>
    </row>
    <row r="355" spans="3:7" ht="27.75" customHeight="1" x14ac:dyDescent="0.25">
      <c r="C355" s="26">
        <v>45843</v>
      </c>
      <c r="D355" s="16" t="s">
        <v>8</v>
      </c>
      <c r="E355" s="27" t="s">
        <v>13</v>
      </c>
      <c r="F355" s="27" t="s">
        <v>38</v>
      </c>
      <c r="G355" s="88">
        <v>88000</v>
      </c>
    </row>
    <row r="356" spans="3:7" ht="27.75" customHeight="1" x14ac:dyDescent="0.25">
      <c r="C356" s="26">
        <v>45843</v>
      </c>
      <c r="D356" s="16" t="s">
        <v>8</v>
      </c>
      <c r="E356" s="27" t="s">
        <v>4</v>
      </c>
      <c r="F356" s="27" t="s">
        <v>28</v>
      </c>
      <c r="G356" s="88">
        <v>112000</v>
      </c>
    </row>
    <row r="357" spans="3:7" ht="27.75" customHeight="1" x14ac:dyDescent="0.25">
      <c r="C357" s="26">
        <v>45843</v>
      </c>
      <c r="D357" s="16" t="s">
        <v>9</v>
      </c>
      <c r="E357" s="27" t="s">
        <v>17</v>
      </c>
      <c r="F357" s="27" t="s">
        <v>44</v>
      </c>
      <c r="G357" s="88">
        <v>82000</v>
      </c>
    </row>
    <row r="358" spans="3:7" ht="27.75" customHeight="1" x14ac:dyDescent="0.25">
      <c r="C358" s="26">
        <v>45843</v>
      </c>
      <c r="D358" s="16" t="s">
        <v>9</v>
      </c>
      <c r="E358" s="27" t="s">
        <v>15</v>
      </c>
      <c r="F358" s="27" t="s">
        <v>41</v>
      </c>
      <c r="G358" s="88">
        <v>500000</v>
      </c>
    </row>
    <row r="359" spans="3:7" ht="27.75" customHeight="1" x14ac:dyDescent="0.25">
      <c r="C359" s="26">
        <v>45844</v>
      </c>
      <c r="D359" s="16" t="s">
        <v>9</v>
      </c>
      <c r="E359" s="27" t="s">
        <v>12</v>
      </c>
      <c r="F359" s="27" t="s">
        <v>52</v>
      </c>
      <c r="G359" s="88">
        <v>57000</v>
      </c>
    </row>
    <row r="360" spans="3:7" ht="27.75" customHeight="1" x14ac:dyDescent="0.25">
      <c r="C360" s="26">
        <v>45844</v>
      </c>
      <c r="D360" s="16" t="s">
        <v>11</v>
      </c>
      <c r="E360" s="27" t="s">
        <v>21</v>
      </c>
      <c r="F360" s="27" t="s">
        <v>48</v>
      </c>
      <c r="G360" s="88">
        <v>3000000</v>
      </c>
    </row>
    <row r="361" spans="3:7" ht="27.75" customHeight="1" x14ac:dyDescent="0.25">
      <c r="C361" s="26">
        <v>45845</v>
      </c>
      <c r="D361" s="16" t="s">
        <v>6</v>
      </c>
      <c r="E361" s="27" t="s">
        <v>5</v>
      </c>
      <c r="F361" s="27" t="s">
        <v>27</v>
      </c>
      <c r="G361" s="88">
        <v>58000</v>
      </c>
    </row>
    <row r="362" spans="3:7" ht="27.75" customHeight="1" x14ac:dyDescent="0.25">
      <c r="C362" s="26">
        <v>45845</v>
      </c>
      <c r="D362" s="16" t="s">
        <v>6</v>
      </c>
      <c r="E362" s="27" t="s">
        <v>5</v>
      </c>
      <c r="F362" s="27" t="s">
        <v>50</v>
      </c>
      <c r="G362" s="88">
        <v>107000</v>
      </c>
    </row>
    <row r="363" spans="3:7" ht="27.75" customHeight="1" x14ac:dyDescent="0.25">
      <c r="C363" s="26">
        <v>45845</v>
      </c>
      <c r="D363" s="16" t="s">
        <v>6</v>
      </c>
      <c r="E363" s="27" t="s">
        <v>5</v>
      </c>
      <c r="F363" s="27" t="s">
        <v>51</v>
      </c>
      <c r="G363" s="88">
        <v>23000</v>
      </c>
    </row>
    <row r="364" spans="3:7" ht="27.75" customHeight="1" x14ac:dyDescent="0.25">
      <c r="C364" s="26">
        <v>45845</v>
      </c>
      <c r="D364" s="16" t="s">
        <v>8</v>
      </c>
      <c r="E364" s="27" t="s">
        <v>4</v>
      </c>
      <c r="F364" s="27" t="s">
        <v>28</v>
      </c>
      <c r="G364" s="88">
        <v>105000</v>
      </c>
    </row>
    <row r="365" spans="3:7" ht="27.75" customHeight="1" x14ac:dyDescent="0.25">
      <c r="C365" s="26">
        <v>45845</v>
      </c>
      <c r="D365" s="16" t="s">
        <v>9</v>
      </c>
      <c r="E365" s="27" t="s">
        <v>16</v>
      </c>
      <c r="F365" s="27" t="s">
        <v>42</v>
      </c>
      <c r="G365" s="88">
        <v>180000</v>
      </c>
    </row>
    <row r="366" spans="3:7" ht="27.75" customHeight="1" x14ac:dyDescent="0.25">
      <c r="C366" s="26">
        <v>45846</v>
      </c>
      <c r="D366" s="16" t="s">
        <v>9</v>
      </c>
      <c r="E366" s="27" t="s">
        <v>17</v>
      </c>
      <c r="F366" s="27" t="s">
        <v>44</v>
      </c>
      <c r="G366" s="88">
        <v>60000</v>
      </c>
    </row>
    <row r="367" spans="3:7" ht="27.75" customHeight="1" x14ac:dyDescent="0.25">
      <c r="C367" s="26">
        <v>45847</v>
      </c>
      <c r="D367" s="16" t="s">
        <v>6</v>
      </c>
      <c r="E367" s="27" t="s">
        <v>5</v>
      </c>
      <c r="F367" s="27" t="s">
        <v>27</v>
      </c>
      <c r="G367" s="88">
        <v>47000</v>
      </c>
    </row>
    <row r="368" spans="3:7" ht="27.75" customHeight="1" x14ac:dyDescent="0.25">
      <c r="C368" s="26">
        <v>45847</v>
      </c>
      <c r="D368" s="16" t="s">
        <v>8</v>
      </c>
      <c r="E368" s="27" t="s">
        <v>4</v>
      </c>
      <c r="F368" s="27" t="s">
        <v>28</v>
      </c>
      <c r="G368" s="88">
        <v>123000</v>
      </c>
    </row>
    <row r="369" spans="3:7" ht="27.75" customHeight="1" x14ac:dyDescent="0.25">
      <c r="C369" s="26">
        <v>45848</v>
      </c>
      <c r="D369" s="16" t="s">
        <v>8</v>
      </c>
      <c r="E369" s="27" t="s">
        <v>13</v>
      </c>
      <c r="F369" s="27" t="s">
        <v>30</v>
      </c>
      <c r="G369" s="88">
        <v>69000</v>
      </c>
    </row>
    <row r="370" spans="3:7" ht="27.75" customHeight="1" x14ac:dyDescent="0.25">
      <c r="C370" s="26">
        <v>45849</v>
      </c>
      <c r="D370" s="16" t="s">
        <v>9</v>
      </c>
      <c r="E370" s="27" t="s">
        <v>16</v>
      </c>
      <c r="F370" s="27" t="s">
        <v>43</v>
      </c>
      <c r="G370" s="88">
        <v>220000</v>
      </c>
    </row>
    <row r="371" spans="3:7" ht="27.75" customHeight="1" x14ac:dyDescent="0.25">
      <c r="C371" s="26">
        <v>45849</v>
      </c>
      <c r="D371" s="16" t="s">
        <v>8</v>
      </c>
      <c r="E371" s="27" t="s">
        <v>4</v>
      </c>
      <c r="F371" s="27" t="s">
        <v>28</v>
      </c>
      <c r="G371" s="88">
        <v>142000</v>
      </c>
    </row>
    <row r="372" spans="3:7" ht="27.75" customHeight="1" x14ac:dyDescent="0.25">
      <c r="C372" s="26">
        <v>45849</v>
      </c>
      <c r="D372" s="16" t="s">
        <v>9</v>
      </c>
      <c r="E372" s="27" t="s">
        <v>17</v>
      </c>
      <c r="F372" s="27" t="s">
        <v>44</v>
      </c>
      <c r="G372" s="88">
        <v>66000</v>
      </c>
    </row>
    <row r="373" spans="3:7" ht="27.75" customHeight="1" x14ac:dyDescent="0.25">
      <c r="C373" s="26">
        <v>45850</v>
      </c>
      <c r="D373" s="16" t="s">
        <v>9</v>
      </c>
      <c r="E373" s="27" t="s">
        <v>12</v>
      </c>
      <c r="F373" s="27" t="s">
        <v>47</v>
      </c>
      <c r="G373" s="88">
        <v>111000</v>
      </c>
    </row>
    <row r="374" spans="3:7" ht="27.75" customHeight="1" x14ac:dyDescent="0.25">
      <c r="C374" s="26">
        <v>45851</v>
      </c>
      <c r="D374" s="16" t="s">
        <v>8</v>
      </c>
      <c r="E374" s="27" t="s">
        <v>4</v>
      </c>
      <c r="F374" s="27" t="s">
        <v>28</v>
      </c>
      <c r="G374" s="88">
        <v>193000</v>
      </c>
    </row>
    <row r="375" spans="3:7" ht="27.75" customHeight="1" x14ac:dyDescent="0.25">
      <c r="C375" s="26">
        <v>45851</v>
      </c>
      <c r="D375" s="16" t="s">
        <v>10</v>
      </c>
      <c r="E375" s="27" t="s">
        <v>19</v>
      </c>
      <c r="F375" s="27" t="s">
        <v>53</v>
      </c>
      <c r="G375" s="88">
        <v>500000</v>
      </c>
    </row>
    <row r="376" spans="3:7" ht="27.75" customHeight="1" x14ac:dyDescent="0.25">
      <c r="C376" s="26">
        <v>45852</v>
      </c>
      <c r="D376" s="16" t="s">
        <v>9</v>
      </c>
      <c r="E376" s="27" t="s">
        <v>17</v>
      </c>
      <c r="F376" s="27" t="s">
        <v>44</v>
      </c>
      <c r="G376" s="88">
        <v>62000</v>
      </c>
    </row>
    <row r="377" spans="3:7" ht="27.75" customHeight="1" x14ac:dyDescent="0.25">
      <c r="C377" s="26">
        <v>45853</v>
      </c>
      <c r="D377" s="16" t="s">
        <v>6</v>
      </c>
      <c r="E377" s="27" t="s">
        <v>5</v>
      </c>
      <c r="F377" s="27" t="s">
        <v>27</v>
      </c>
      <c r="G377" s="88">
        <v>62000</v>
      </c>
    </row>
    <row r="378" spans="3:7" ht="27.75" customHeight="1" x14ac:dyDescent="0.25">
      <c r="C378" s="26">
        <v>45853</v>
      </c>
      <c r="D378" s="16" t="s">
        <v>8</v>
      </c>
      <c r="E378" s="27" t="s">
        <v>14</v>
      </c>
      <c r="F378" s="27" t="s">
        <v>40</v>
      </c>
      <c r="G378" s="88">
        <v>118000</v>
      </c>
    </row>
    <row r="379" spans="3:7" ht="27.75" customHeight="1" x14ac:dyDescent="0.25">
      <c r="C379" s="26">
        <v>45854</v>
      </c>
      <c r="D379" s="16" t="s">
        <v>8</v>
      </c>
      <c r="E379" s="27" t="s">
        <v>4</v>
      </c>
      <c r="F379" s="27" t="s">
        <v>28</v>
      </c>
      <c r="G379" s="88">
        <v>200000</v>
      </c>
    </row>
    <row r="380" spans="3:7" ht="27.75" customHeight="1" x14ac:dyDescent="0.25">
      <c r="C380" s="26">
        <v>45855</v>
      </c>
      <c r="D380" s="16" t="s">
        <v>8</v>
      </c>
      <c r="E380" s="27" t="s">
        <v>4</v>
      </c>
      <c r="F380" s="27" t="s">
        <v>28</v>
      </c>
      <c r="G380" s="88">
        <v>153000</v>
      </c>
    </row>
    <row r="381" spans="3:7" ht="27.75" customHeight="1" x14ac:dyDescent="0.25">
      <c r="C381" s="26">
        <v>45856</v>
      </c>
      <c r="D381" s="16" t="s">
        <v>9</v>
      </c>
      <c r="E381" s="27" t="s">
        <v>17</v>
      </c>
      <c r="F381" s="27" t="s">
        <v>44</v>
      </c>
      <c r="G381" s="88">
        <v>66000</v>
      </c>
    </row>
    <row r="382" spans="3:7" ht="27.75" customHeight="1" x14ac:dyDescent="0.25">
      <c r="C382" s="26">
        <v>45857</v>
      </c>
      <c r="D382" s="16" t="s">
        <v>8</v>
      </c>
      <c r="E382" s="27" t="s">
        <v>4</v>
      </c>
      <c r="F382" s="27" t="s">
        <v>28</v>
      </c>
      <c r="G382" s="88">
        <v>114000</v>
      </c>
    </row>
    <row r="383" spans="3:7" ht="27.75" customHeight="1" x14ac:dyDescent="0.25">
      <c r="C383" s="26">
        <v>45858</v>
      </c>
      <c r="D383" s="16" t="s">
        <v>6</v>
      </c>
      <c r="E383" s="27" t="s">
        <v>5</v>
      </c>
      <c r="F383" s="27" t="s">
        <v>27</v>
      </c>
      <c r="G383" s="88">
        <v>52000</v>
      </c>
    </row>
    <row r="384" spans="3:7" ht="27.75" customHeight="1" x14ac:dyDescent="0.25">
      <c r="C384" s="26">
        <v>45858</v>
      </c>
      <c r="D384" s="16" t="s">
        <v>8</v>
      </c>
      <c r="E384" s="27" t="s">
        <v>13</v>
      </c>
      <c r="F384" s="27" t="s">
        <v>39</v>
      </c>
      <c r="G384" s="88">
        <v>78000</v>
      </c>
    </row>
    <row r="385" spans="3:7" ht="27.75" customHeight="1" x14ac:dyDescent="0.25">
      <c r="C385" s="26">
        <v>45858</v>
      </c>
      <c r="D385" s="16" t="s">
        <v>9</v>
      </c>
      <c r="E385" s="27" t="s">
        <v>17</v>
      </c>
      <c r="F385" s="27" t="s">
        <v>44</v>
      </c>
      <c r="G385" s="88">
        <v>52000</v>
      </c>
    </row>
    <row r="386" spans="3:7" ht="27.75" customHeight="1" x14ac:dyDescent="0.25">
      <c r="C386" s="26">
        <v>45859</v>
      </c>
      <c r="D386" s="16" t="s">
        <v>8</v>
      </c>
      <c r="E386" s="27" t="s">
        <v>4</v>
      </c>
      <c r="F386" s="27" t="s">
        <v>28</v>
      </c>
      <c r="G386" s="88">
        <v>157000</v>
      </c>
    </row>
    <row r="387" spans="3:7" ht="27.75" customHeight="1" x14ac:dyDescent="0.25">
      <c r="C387" s="26">
        <v>45860</v>
      </c>
      <c r="D387" s="16" t="s">
        <v>8</v>
      </c>
      <c r="E387" s="27" t="s">
        <v>4</v>
      </c>
      <c r="F387" s="27" t="s">
        <v>28</v>
      </c>
      <c r="G387" s="88">
        <v>144000</v>
      </c>
    </row>
    <row r="388" spans="3:7" ht="27.75" customHeight="1" x14ac:dyDescent="0.25">
      <c r="C388" s="26">
        <v>45861</v>
      </c>
      <c r="D388" s="16" t="s">
        <v>9</v>
      </c>
      <c r="E388" s="27" t="s">
        <v>12</v>
      </c>
      <c r="F388" s="27" t="s">
        <v>46</v>
      </c>
      <c r="G388" s="88">
        <v>113000</v>
      </c>
    </row>
    <row r="389" spans="3:7" ht="27.75" customHeight="1" x14ac:dyDescent="0.25">
      <c r="C389" s="26">
        <v>45861</v>
      </c>
      <c r="D389" s="16" t="s">
        <v>10</v>
      </c>
      <c r="E389" s="27" t="s">
        <v>19</v>
      </c>
      <c r="F389" s="27" t="s">
        <v>53</v>
      </c>
      <c r="G389" s="88">
        <v>500000</v>
      </c>
    </row>
    <row r="390" spans="3:7" ht="27.75" customHeight="1" x14ac:dyDescent="0.25">
      <c r="C390" s="26">
        <v>45862</v>
      </c>
      <c r="D390" s="16" t="s">
        <v>6</v>
      </c>
      <c r="E390" s="27" t="s">
        <v>5</v>
      </c>
      <c r="F390" s="27" t="s">
        <v>27</v>
      </c>
      <c r="G390" s="88">
        <v>56000</v>
      </c>
    </row>
    <row r="391" spans="3:7" ht="27.75" customHeight="1" x14ac:dyDescent="0.25">
      <c r="C391" s="26">
        <v>45863</v>
      </c>
      <c r="D391" s="16" t="s">
        <v>8</v>
      </c>
      <c r="E391" s="27" t="s">
        <v>13</v>
      </c>
      <c r="F391" s="27" t="s">
        <v>30</v>
      </c>
      <c r="G391" s="88">
        <v>75000</v>
      </c>
    </row>
    <row r="392" spans="3:7" ht="27.75" customHeight="1" x14ac:dyDescent="0.25">
      <c r="C392" s="26">
        <v>45863</v>
      </c>
      <c r="D392" s="16" t="s">
        <v>8</v>
      </c>
      <c r="E392" s="27" t="s">
        <v>4</v>
      </c>
      <c r="F392" s="27" t="s">
        <v>28</v>
      </c>
      <c r="G392" s="88">
        <v>132000</v>
      </c>
    </row>
    <row r="393" spans="3:7" ht="27.75" customHeight="1" x14ac:dyDescent="0.25">
      <c r="C393" s="26">
        <v>45865</v>
      </c>
      <c r="D393" s="16" t="s">
        <v>8</v>
      </c>
      <c r="E393" s="27" t="s">
        <v>4</v>
      </c>
      <c r="F393" s="27" t="s">
        <v>28</v>
      </c>
      <c r="G393" s="88">
        <v>114000</v>
      </c>
    </row>
    <row r="394" spans="3:7" ht="27.75" customHeight="1" x14ac:dyDescent="0.25">
      <c r="C394" s="26">
        <v>45866</v>
      </c>
      <c r="D394" s="16" t="s">
        <v>6</v>
      </c>
      <c r="E394" s="27" t="s">
        <v>5</v>
      </c>
      <c r="F394" s="27" t="s">
        <v>27</v>
      </c>
      <c r="G394" s="88">
        <v>52000</v>
      </c>
    </row>
    <row r="395" spans="3:7" ht="27.75" customHeight="1" x14ac:dyDescent="0.25">
      <c r="C395" s="26">
        <v>45867</v>
      </c>
      <c r="D395" s="16" t="s">
        <v>8</v>
      </c>
      <c r="E395" s="27" t="s">
        <v>4</v>
      </c>
      <c r="F395" s="27" t="s">
        <v>28</v>
      </c>
      <c r="G395" s="88">
        <v>100000</v>
      </c>
    </row>
    <row r="396" spans="3:7" ht="27.75" customHeight="1" x14ac:dyDescent="0.25">
      <c r="C396" s="26">
        <v>45867</v>
      </c>
      <c r="D396" s="16" t="s">
        <v>6</v>
      </c>
      <c r="E396" s="27" t="s">
        <v>5</v>
      </c>
      <c r="F396" s="27" t="s">
        <v>27</v>
      </c>
      <c r="G396" s="88">
        <v>60000</v>
      </c>
    </row>
    <row r="397" spans="3:7" ht="27.75" customHeight="1" x14ac:dyDescent="0.25">
      <c r="C397" s="26">
        <v>45868</v>
      </c>
      <c r="D397" s="16" t="s">
        <v>8</v>
      </c>
      <c r="E397" s="27" t="s">
        <v>4</v>
      </c>
      <c r="F397" s="27" t="s">
        <v>28</v>
      </c>
      <c r="G397" s="88">
        <v>105000</v>
      </c>
    </row>
    <row r="398" spans="3:7" ht="27.75" customHeight="1" x14ac:dyDescent="0.25">
      <c r="C398" s="26">
        <v>45868</v>
      </c>
      <c r="D398" s="16" t="s">
        <v>6</v>
      </c>
      <c r="E398" s="27" t="s">
        <v>5</v>
      </c>
      <c r="F398" s="27" t="s">
        <v>27</v>
      </c>
      <c r="G398" s="88">
        <v>64000</v>
      </c>
    </row>
    <row r="399" spans="3:7" ht="27.75" customHeight="1" x14ac:dyDescent="0.25">
      <c r="C399" s="26">
        <v>45869</v>
      </c>
      <c r="D399" s="16" t="s">
        <v>8</v>
      </c>
      <c r="E399" s="27" t="s">
        <v>4</v>
      </c>
      <c r="F399" s="27" t="s">
        <v>28</v>
      </c>
      <c r="G399" s="88">
        <v>144000</v>
      </c>
    </row>
    <row r="400" spans="3:7" ht="27.75" customHeight="1" x14ac:dyDescent="0.25">
      <c r="C400" s="26">
        <v>45870</v>
      </c>
      <c r="D400" s="16" t="s">
        <v>6</v>
      </c>
      <c r="E400" s="27" t="s">
        <v>2</v>
      </c>
      <c r="F400" s="27" t="s">
        <v>2</v>
      </c>
      <c r="G400" s="88">
        <v>1600000</v>
      </c>
    </row>
    <row r="401" spans="3:7" ht="27.75" customHeight="1" x14ac:dyDescent="0.25">
      <c r="C401" s="26">
        <v>45870</v>
      </c>
      <c r="D401" s="16" t="s">
        <v>6</v>
      </c>
      <c r="E401" s="27" t="s">
        <v>3</v>
      </c>
      <c r="F401" s="27" t="s">
        <v>36</v>
      </c>
      <c r="G401" s="88">
        <v>36000</v>
      </c>
    </row>
    <row r="402" spans="3:7" ht="27.75" customHeight="1" x14ac:dyDescent="0.25">
      <c r="C402" s="26">
        <v>45871</v>
      </c>
      <c r="D402" s="16" t="s">
        <v>6</v>
      </c>
      <c r="E402" s="27" t="s">
        <v>3</v>
      </c>
      <c r="F402" s="27" t="s">
        <v>33</v>
      </c>
      <c r="G402" s="88">
        <v>469000</v>
      </c>
    </row>
    <row r="403" spans="3:7" ht="27.75" customHeight="1" x14ac:dyDescent="0.25">
      <c r="C403" s="26">
        <v>45871</v>
      </c>
      <c r="D403" s="16" t="s">
        <v>6</v>
      </c>
      <c r="E403" s="27" t="s">
        <v>3</v>
      </c>
      <c r="F403" s="27" t="s">
        <v>34</v>
      </c>
      <c r="G403" s="88">
        <v>104000</v>
      </c>
    </row>
    <row r="404" spans="3:7" ht="27.75" customHeight="1" x14ac:dyDescent="0.25">
      <c r="C404" s="26">
        <v>45871</v>
      </c>
      <c r="D404" s="16" t="s">
        <v>8</v>
      </c>
      <c r="E404" s="27" t="s">
        <v>14</v>
      </c>
      <c r="F404" s="27" t="s">
        <v>37</v>
      </c>
      <c r="G404" s="88">
        <v>301000</v>
      </c>
    </row>
    <row r="405" spans="3:7" ht="27.75" customHeight="1" x14ac:dyDescent="0.25">
      <c r="C405" s="26">
        <v>45871</v>
      </c>
      <c r="D405" s="16" t="s">
        <v>9</v>
      </c>
      <c r="E405" s="27" t="s">
        <v>17</v>
      </c>
      <c r="F405" s="27" t="s">
        <v>44</v>
      </c>
      <c r="G405" s="88">
        <v>65000</v>
      </c>
    </row>
    <row r="406" spans="3:7" ht="27.75" customHeight="1" x14ac:dyDescent="0.25">
      <c r="C406" s="26">
        <v>45872</v>
      </c>
      <c r="D406" s="16" t="s">
        <v>6</v>
      </c>
      <c r="E406" s="27" t="s">
        <v>3</v>
      </c>
      <c r="F406" s="27" t="s">
        <v>35</v>
      </c>
      <c r="G406" s="88">
        <v>200000</v>
      </c>
    </row>
    <row r="407" spans="3:7" ht="27.75" customHeight="1" x14ac:dyDescent="0.25">
      <c r="C407" s="26">
        <v>45872</v>
      </c>
      <c r="D407" s="16" t="s">
        <v>6</v>
      </c>
      <c r="E407" s="27" t="s">
        <v>5</v>
      </c>
      <c r="F407" s="27" t="s">
        <v>27</v>
      </c>
      <c r="G407" s="88">
        <v>53000</v>
      </c>
    </row>
    <row r="408" spans="3:7" ht="27.75" customHeight="1" x14ac:dyDescent="0.25">
      <c r="C408" s="26">
        <v>45872</v>
      </c>
      <c r="D408" s="16" t="s">
        <v>8</v>
      </c>
      <c r="E408" s="27" t="s">
        <v>4</v>
      </c>
      <c r="F408" s="27" t="s">
        <v>28</v>
      </c>
      <c r="G408" s="88">
        <v>155000</v>
      </c>
    </row>
    <row r="409" spans="3:7" ht="27.75" customHeight="1" x14ac:dyDescent="0.25">
      <c r="C409" s="26">
        <v>45872</v>
      </c>
      <c r="D409" s="16" t="s">
        <v>9</v>
      </c>
      <c r="E409" s="27" t="s">
        <v>12</v>
      </c>
      <c r="F409" s="27" t="s">
        <v>45</v>
      </c>
      <c r="G409" s="88">
        <v>317000</v>
      </c>
    </row>
    <row r="410" spans="3:7" ht="27.75" customHeight="1" x14ac:dyDescent="0.25">
      <c r="C410" s="26">
        <v>45872</v>
      </c>
      <c r="D410" s="16" t="s">
        <v>11</v>
      </c>
      <c r="E410" s="27" t="s">
        <v>20</v>
      </c>
      <c r="F410" s="27" t="s">
        <v>29</v>
      </c>
      <c r="G410" s="88">
        <v>500000</v>
      </c>
    </row>
    <row r="411" spans="3:7" ht="27.75" customHeight="1" x14ac:dyDescent="0.25">
      <c r="C411" s="26">
        <v>45873</v>
      </c>
      <c r="D411" s="16" t="s">
        <v>8</v>
      </c>
      <c r="E411" s="27" t="s">
        <v>4</v>
      </c>
      <c r="F411" s="27" t="s">
        <v>28</v>
      </c>
      <c r="G411" s="88">
        <v>105000</v>
      </c>
    </row>
    <row r="412" spans="3:7" ht="27.75" customHeight="1" x14ac:dyDescent="0.25">
      <c r="C412" s="26">
        <v>45873</v>
      </c>
      <c r="D412" s="16" t="s">
        <v>6</v>
      </c>
      <c r="E412" s="27" t="s">
        <v>5</v>
      </c>
      <c r="F412" s="27" t="s">
        <v>27</v>
      </c>
      <c r="G412" s="88">
        <v>53000</v>
      </c>
    </row>
    <row r="413" spans="3:7" ht="27.75" customHeight="1" x14ac:dyDescent="0.25">
      <c r="C413" s="26">
        <v>45874</v>
      </c>
      <c r="D413" s="16" t="s">
        <v>8</v>
      </c>
      <c r="E413" s="27" t="s">
        <v>13</v>
      </c>
      <c r="F413" s="27" t="s">
        <v>38</v>
      </c>
      <c r="G413" s="88">
        <v>90000</v>
      </c>
    </row>
    <row r="414" spans="3:7" ht="27.75" customHeight="1" x14ac:dyDescent="0.25">
      <c r="C414" s="26">
        <v>45874</v>
      </c>
      <c r="D414" s="16" t="s">
        <v>8</v>
      </c>
      <c r="E414" s="27" t="s">
        <v>4</v>
      </c>
      <c r="F414" s="27" t="s">
        <v>28</v>
      </c>
      <c r="G414" s="88">
        <v>112000</v>
      </c>
    </row>
    <row r="415" spans="3:7" ht="27.75" customHeight="1" x14ac:dyDescent="0.25">
      <c r="C415" s="26">
        <v>45874</v>
      </c>
      <c r="D415" s="16" t="s">
        <v>9</v>
      </c>
      <c r="E415" s="27" t="s">
        <v>17</v>
      </c>
      <c r="F415" s="27" t="s">
        <v>44</v>
      </c>
      <c r="G415" s="88">
        <v>78000</v>
      </c>
    </row>
    <row r="416" spans="3:7" ht="27.75" customHeight="1" x14ac:dyDescent="0.25">
      <c r="C416" s="26">
        <v>45874</v>
      </c>
      <c r="D416" s="16" t="s">
        <v>9</v>
      </c>
      <c r="E416" s="27" t="s">
        <v>15</v>
      </c>
      <c r="F416" s="27" t="s">
        <v>41</v>
      </c>
      <c r="G416" s="88">
        <v>500000</v>
      </c>
    </row>
    <row r="417" spans="3:7" ht="27.75" customHeight="1" x14ac:dyDescent="0.25">
      <c r="C417" s="26">
        <v>45875</v>
      </c>
      <c r="D417" s="16" t="s">
        <v>9</v>
      </c>
      <c r="E417" s="27" t="s">
        <v>12</v>
      </c>
      <c r="F417" s="27" t="s">
        <v>52</v>
      </c>
      <c r="G417" s="88">
        <v>58000</v>
      </c>
    </row>
    <row r="418" spans="3:7" ht="27.75" customHeight="1" x14ac:dyDescent="0.25">
      <c r="C418" s="26">
        <v>45875</v>
      </c>
      <c r="D418" s="16" t="s">
        <v>11</v>
      </c>
      <c r="E418" s="27" t="s">
        <v>21</v>
      </c>
      <c r="F418" s="27" t="s">
        <v>48</v>
      </c>
      <c r="G418" s="88">
        <v>1000000</v>
      </c>
    </row>
    <row r="419" spans="3:7" ht="27.75" customHeight="1" x14ac:dyDescent="0.25">
      <c r="C419" s="26">
        <v>45876</v>
      </c>
      <c r="D419" s="16" t="s">
        <v>6</v>
      </c>
      <c r="E419" s="27" t="s">
        <v>5</v>
      </c>
      <c r="F419" s="27" t="s">
        <v>27</v>
      </c>
      <c r="G419" s="88">
        <v>57000</v>
      </c>
    </row>
    <row r="420" spans="3:7" ht="27.75" customHeight="1" x14ac:dyDescent="0.25">
      <c r="C420" s="26">
        <v>45876</v>
      </c>
      <c r="D420" s="16" t="s">
        <v>6</v>
      </c>
      <c r="E420" s="27" t="s">
        <v>5</v>
      </c>
      <c r="F420" s="27" t="s">
        <v>50</v>
      </c>
      <c r="G420" s="88">
        <v>105000</v>
      </c>
    </row>
    <row r="421" spans="3:7" ht="27.75" customHeight="1" x14ac:dyDescent="0.25">
      <c r="C421" s="26">
        <v>45876</v>
      </c>
      <c r="D421" s="16" t="s">
        <v>6</v>
      </c>
      <c r="E421" s="27" t="s">
        <v>5</v>
      </c>
      <c r="F421" s="27" t="s">
        <v>51</v>
      </c>
      <c r="G421" s="88">
        <v>21000</v>
      </c>
    </row>
    <row r="422" spans="3:7" ht="27.75" customHeight="1" x14ac:dyDescent="0.25">
      <c r="C422" s="26">
        <v>45876</v>
      </c>
      <c r="D422" s="16" t="s">
        <v>8</v>
      </c>
      <c r="E422" s="27" t="s">
        <v>4</v>
      </c>
      <c r="F422" s="27" t="s">
        <v>28</v>
      </c>
      <c r="G422" s="88">
        <v>99000</v>
      </c>
    </row>
    <row r="423" spans="3:7" ht="27.75" customHeight="1" x14ac:dyDescent="0.25">
      <c r="C423" s="26">
        <v>45876</v>
      </c>
      <c r="D423" s="16" t="s">
        <v>9</v>
      </c>
      <c r="E423" s="27" t="s">
        <v>16</v>
      </c>
      <c r="F423" s="27" t="s">
        <v>42</v>
      </c>
      <c r="G423" s="88">
        <v>225000</v>
      </c>
    </row>
    <row r="424" spans="3:7" ht="27.75" customHeight="1" x14ac:dyDescent="0.25">
      <c r="C424" s="26">
        <v>45877</v>
      </c>
      <c r="D424" s="16" t="s">
        <v>9</v>
      </c>
      <c r="E424" s="27" t="s">
        <v>17</v>
      </c>
      <c r="F424" s="27" t="s">
        <v>44</v>
      </c>
      <c r="G424" s="88">
        <v>56000</v>
      </c>
    </row>
    <row r="425" spans="3:7" ht="27.75" customHeight="1" x14ac:dyDescent="0.25">
      <c r="C425" s="26">
        <v>45878</v>
      </c>
      <c r="D425" s="16" t="s">
        <v>6</v>
      </c>
      <c r="E425" s="27" t="s">
        <v>5</v>
      </c>
      <c r="F425" s="27" t="s">
        <v>27</v>
      </c>
      <c r="G425" s="88">
        <v>47000</v>
      </c>
    </row>
    <row r="426" spans="3:7" ht="27.75" customHeight="1" x14ac:dyDescent="0.25">
      <c r="C426" s="26">
        <v>45878</v>
      </c>
      <c r="D426" s="16" t="s">
        <v>8</v>
      </c>
      <c r="E426" s="27" t="s">
        <v>4</v>
      </c>
      <c r="F426" s="27" t="s">
        <v>28</v>
      </c>
      <c r="G426" s="88">
        <v>123000</v>
      </c>
    </row>
    <row r="427" spans="3:7" ht="27.75" customHeight="1" x14ac:dyDescent="0.25">
      <c r="C427" s="26">
        <v>45879</v>
      </c>
      <c r="D427" s="16" t="s">
        <v>8</v>
      </c>
      <c r="E427" s="27" t="s">
        <v>13</v>
      </c>
      <c r="F427" s="27" t="s">
        <v>30</v>
      </c>
      <c r="G427" s="88">
        <v>63000</v>
      </c>
    </row>
    <row r="428" spans="3:7" ht="27.75" customHeight="1" x14ac:dyDescent="0.25">
      <c r="C428" s="26">
        <v>45880</v>
      </c>
      <c r="D428" s="16" t="s">
        <v>9</v>
      </c>
      <c r="E428" s="27" t="s">
        <v>16</v>
      </c>
      <c r="F428" s="27" t="s">
        <v>43</v>
      </c>
      <c r="G428" s="88">
        <v>296000</v>
      </c>
    </row>
    <row r="429" spans="3:7" ht="27.75" customHeight="1" x14ac:dyDescent="0.25">
      <c r="C429" s="26">
        <v>45880</v>
      </c>
      <c r="D429" s="16" t="s">
        <v>8</v>
      </c>
      <c r="E429" s="27" t="s">
        <v>4</v>
      </c>
      <c r="F429" s="27" t="s">
        <v>28</v>
      </c>
      <c r="G429" s="88">
        <v>135000</v>
      </c>
    </row>
    <row r="430" spans="3:7" ht="27.75" customHeight="1" x14ac:dyDescent="0.25">
      <c r="C430" s="26">
        <v>45880</v>
      </c>
      <c r="D430" s="16" t="s">
        <v>9</v>
      </c>
      <c r="E430" s="27" t="s">
        <v>17</v>
      </c>
      <c r="F430" s="27" t="s">
        <v>44</v>
      </c>
      <c r="G430" s="88">
        <v>65000</v>
      </c>
    </row>
    <row r="431" spans="3:7" ht="27.75" customHeight="1" x14ac:dyDescent="0.25">
      <c r="C431" s="26">
        <v>45881</v>
      </c>
      <c r="D431" s="16" t="s">
        <v>9</v>
      </c>
      <c r="E431" s="27" t="s">
        <v>12</v>
      </c>
      <c r="F431" s="27" t="s">
        <v>47</v>
      </c>
      <c r="G431" s="88">
        <v>111000</v>
      </c>
    </row>
    <row r="432" spans="3:7" ht="27.75" customHeight="1" x14ac:dyDescent="0.25">
      <c r="C432" s="26">
        <v>45882</v>
      </c>
      <c r="D432" s="16" t="s">
        <v>8</v>
      </c>
      <c r="E432" s="27" t="s">
        <v>4</v>
      </c>
      <c r="F432" s="27" t="s">
        <v>28</v>
      </c>
      <c r="G432" s="88">
        <v>176000</v>
      </c>
    </row>
    <row r="433" spans="3:7" ht="27.75" customHeight="1" x14ac:dyDescent="0.25">
      <c r="C433" s="26">
        <v>45883</v>
      </c>
      <c r="D433" s="16" t="s">
        <v>9</v>
      </c>
      <c r="E433" s="27" t="s">
        <v>17</v>
      </c>
      <c r="F433" s="27" t="s">
        <v>44</v>
      </c>
      <c r="G433" s="88">
        <v>63000</v>
      </c>
    </row>
    <row r="434" spans="3:7" ht="27.75" customHeight="1" x14ac:dyDescent="0.25">
      <c r="C434" s="26">
        <v>45884</v>
      </c>
      <c r="D434" s="16" t="s">
        <v>6</v>
      </c>
      <c r="E434" s="27" t="s">
        <v>5</v>
      </c>
      <c r="F434" s="27" t="s">
        <v>27</v>
      </c>
      <c r="G434" s="88">
        <v>59000</v>
      </c>
    </row>
    <row r="435" spans="3:7" ht="27.75" customHeight="1" x14ac:dyDescent="0.25">
      <c r="C435" s="26">
        <v>45884</v>
      </c>
      <c r="D435" s="16" t="s">
        <v>8</v>
      </c>
      <c r="E435" s="27" t="s">
        <v>14</v>
      </c>
      <c r="F435" s="27" t="s">
        <v>40</v>
      </c>
      <c r="G435" s="88">
        <v>118000</v>
      </c>
    </row>
    <row r="436" spans="3:7" ht="27.75" customHeight="1" x14ac:dyDescent="0.25">
      <c r="C436" s="26">
        <v>45885</v>
      </c>
      <c r="D436" s="16" t="s">
        <v>8</v>
      </c>
      <c r="E436" s="27" t="s">
        <v>4</v>
      </c>
      <c r="F436" s="27" t="s">
        <v>28</v>
      </c>
      <c r="G436" s="88">
        <v>196000</v>
      </c>
    </row>
    <row r="437" spans="3:7" ht="27.75" customHeight="1" x14ac:dyDescent="0.25">
      <c r="C437" s="26">
        <v>45886</v>
      </c>
      <c r="D437" s="16" t="s">
        <v>8</v>
      </c>
      <c r="E437" s="27" t="s">
        <v>4</v>
      </c>
      <c r="F437" s="27" t="s">
        <v>28</v>
      </c>
      <c r="G437" s="88">
        <v>142000</v>
      </c>
    </row>
    <row r="438" spans="3:7" ht="27.75" customHeight="1" x14ac:dyDescent="0.25">
      <c r="C438" s="26">
        <v>45887</v>
      </c>
      <c r="D438" s="16" t="s">
        <v>9</v>
      </c>
      <c r="E438" s="27" t="s">
        <v>17</v>
      </c>
      <c r="F438" s="27" t="s">
        <v>44</v>
      </c>
      <c r="G438" s="88">
        <v>67000</v>
      </c>
    </row>
    <row r="439" spans="3:7" ht="27.75" customHeight="1" x14ac:dyDescent="0.25">
      <c r="C439" s="26">
        <v>45888</v>
      </c>
      <c r="D439" s="16" t="s">
        <v>8</v>
      </c>
      <c r="E439" s="27" t="s">
        <v>4</v>
      </c>
      <c r="F439" s="27" t="s">
        <v>28</v>
      </c>
      <c r="G439" s="88">
        <v>115000</v>
      </c>
    </row>
    <row r="440" spans="3:7" ht="27.75" customHeight="1" x14ac:dyDescent="0.25">
      <c r="C440" s="26">
        <v>45889</v>
      </c>
      <c r="D440" s="16" t="s">
        <v>6</v>
      </c>
      <c r="E440" s="27" t="s">
        <v>5</v>
      </c>
      <c r="F440" s="27" t="s">
        <v>27</v>
      </c>
      <c r="G440" s="88">
        <v>49000</v>
      </c>
    </row>
    <row r="441" spans="3:7" ht="27.75" customHeight="1" x14ac:dyDescent="0.25">
      <c r="C441" s="26">
        <v>45889</v>
      </c>
      <c r="D441" s="16" t="s">
        <v>8</v>
      </c>
      <c r="E441" s="27" t="s">
        <v>13</v>
      </c>
      <c r="F441" s="27" t="s">
        <v>39</v>
      </c>
      <c r="G441" s="88">
        <v>71000</v>
      </c>
    </row>
    <row r="442" spans="3:7" ht="27.75" customHeight="1" x14ac:dyDescent="0.25">
      <c r="C442" s="26">
        <v>45889</v>
      </c>
      <c r="D442" s="16" t="s">
        <v>9</v>
      </c>
      <c r="E442" s="27" t="s">
        <v>17</v>
      </c>
      <c r="F442" s="27" t="s">
        <v>44</v>
      </c>
      <c r="G442" s="88">
        <v>52000</v>
      </c>
    </row>
    <row r="443" spans="3:7" ht="27.75" customHeight="1" x14ac:dyDescent="0.25">
      <c r="C443" s="26">
        <v>45890</v>
      </c>
      <c r="D443" s="16" t="s">
        <v>8</v>
      </c>
      <c r="E443" s="27" t="s">
        <v>4</v>
      </c>
      <c r="F443" s="27" t="s">
        <v>28</v>
      </c>
      <c r="G443" s="88">
        <v>160000</v>
      </c>
    </row>
    <row r="444" spans="3:7" ht="27.75" customHeight="1" x14ac:dyDescent="0.25">
      <c r="C444" s="26">
        <v>45891</v>
      </c>
      <c r="D444" s="16" t="s">
        <v>8</v>
      </c>
      <c r="E444" s="27" t="s">
        <v>4</v>
      </c>
      <c r="F444" s="27" t="s">
        <v>28</v>
      </c>
      <c r="G444" s="88">
        <v>132000</v>
      </c>
    </row>
    <row r="445" spans="3:7" ht="27.75" customHeight="1" x14ac:dyDescent="0.25">
      <c r="C445" s="26">
        <v>45892</v>
      </c>
      <c r="D445" s="16" t="s">
        <v>9</v>
      </c>
      <c r="E445" s="27" t="s">
        <v>12</v>
      </c>
      <c r="F445" s="27" t="s">
        <v>46</v>
      </c>
      <c r="G445" s="88">
        <v>104000</v>
      </c>
    </row>
    <row r="446" spans="3:7" ht="27.75" customHeight="1" x14ac:dyDescent="0.25">
      <c r="C446" s="26">
        <v>45892</v>
      </c>
      <c r="D446" s="16" t="s">
        <v>10</v>
      </c>
      <c r="E446" s="27" t="s">
        <v>18</v>
      </c>
      <c r="F446" s="27" t="s">
        <v>54</v>
      </c>
      <c r="G446" s="88">
        <v>200000</v>
      </c>
    </row>
    <row r="447" spans="3:7" ht="27.75" customHeight="1" x14ac:dyDescent="0.25">
      <c r="C447" s="26">
        <v>45893</v>
      </c>
      <c r="D447" s="16" t="s">
        <v>6</v>
      </c>
      <c r="E447" s="27" t="s">
        <v>5</v>
      </c>
      <c r="F447" s="27" t="s">
        <v>27</v>
      </c>
      <c r="G447" s="88">
        <v>53000</v>
      </c>
    </row>
    <row r="448" spans="3:7" ht="27.75" customHeight="1" x14ac:dyDescent="0.25">
      <c r="C448" s="26">
        <v>45894</v>
      </c>
      <c r="D448" s="16" t="s">
        <v>8</v>
      </c>
      <c r="E448" s="27" t="s">
        <v>13</v>
      </c>
      <c r="F448" s="27" t="s">
        <v>30</v>
      </c>
      <c r="G448" s="88">
        <v>77000</v>
      </c>
    </row>
    <row r="449" spans="3:7" ht="27.75" customHeight="1" x14ac:dyDescent="0.25">
      <c r="C449" s="26">
        <v>45894</v>
      </c>
      <c r="D449" s="16" t="s">
        <v>8</v>
      </c>
      <c r="E449" s="27" t="s">
        <v>4</v>
      </c>
      <c r="F449" s="27" t="s">
        <v>28</v>
      </c>
      <c r="G449" s="88">
        <v>123000</v>
      </c>
    </row>
    <row r="450" spans="3:7" ht="27.75" customHeight="1" x14ac:dyDescent="0.25">
      <c r="C450" s="26">
        <v>45896</v>
      </c>
      <c r="D450" s="16" t="s">
        <v>8</v>
      </c>
      <c r="E450" s="27" t="s">
        <v>4</v>
      </c>
      <c r="F450" s="27" t="s">
        <v>28</v>
      </c>
      <c r="G450" s="88">
        <v>105000</v>
      </c>
    </row>
    <row r="451" spans="3:7" ht="27.75" customHeight="1" x14ac:dyDescent="0.25">
      <c r="C451" s="26">
        <v>45897</v>
      </c>
      <c r="D451" s="16" t="s">
        <v>6</v>
      </c>
      <c r="E451" s="27" t="s">
        <v>5</v>
      </c>
      <c r="F451" s="27" t="s">
        <v>27</v>
      </c>
      <c r="G451" s="88">
        <v>50000</v>
      </c>
    </row>
    <row r="452" spans="3:7" ht="27.75" customHeight="1" x14ac:dyDescent="0.25">
      <c r="C452" s="26">
        <v>45898</v>
      </c>
      <c r="D452" s="16" t="s">
        <v>8</v>
      </c>
      <c r="E452" s="27" t="s">
        <v>4</v>
      </c>
      <c r="F452" s="27" t="s">
        <v>28</v>
      </c>
      <c r="G452" s="88">
        <v>125000</v>
      </c>
    </row>
    <row r="453" spans="3:7" ht="27.75" customHeight="1" x14ac:dyDescent="0.25">
      <c r="C453" s="26">
        <v>45898</v>
      </c>
      <c r="D453" s="16" t="s">
        <v>6</v>
      </c>
      <c r="E453" s="27" t="s">
        <v>5</v>
      </c>
      <c r="F453" s="27" t="s">
        <v>27</v>
      </c>
      <c r="G453" s="88">
        <v>58000</v>
      </c>
    </row>
    <row r="454" spans="3:7" ht="27.75" customHeight="1" x14ac:dyDescent="0.25">
      <c r="C454" s="26">
        <v>45899</v>
      </c>
      <c r="D454" s="16" t="s">
        <v>8</v>
      </c>
      <c r="E454" s="27" t="s">
        <v>4</v>
      </c>
      <c r="F454" s="27" t="s">
        <v>28</v>
      </c>
      <c r="G454" s="88">
        <v>147000</v>
      </c>
    </row>
    <row r="455" spans="3:7" ht="27.75" customHeight="1" x14ac:dyDescent="0.25">
      <c r="C455" s="26">
        <v>45899</v>
      </c>
      <c r="D455" s="16" t="s">
        <v>6</v>
      </c>
      <c r="E455" s="27" t="s">
        <v>5</v>
      </c>
      <c r="F455" s="27" t="s">
        <v>27</v>
      </c>
      <c r="G455" s="88">
        <v>60000</v>
      </c>
    </row>
    <row r="456" spans="3:7" ht="27.75" customHeight="1" x14ac:dyDescent="0.25">
      <c r="C456" s="26">
        <v>45900</v>
      </c>
      <c r="D456" s="16" t="s">
        <v>8</v>
      </c>
      <c r="E456" s="27" t="s">
        <v>4</v>
      </c>
      <c r="F456" s="27" t="s">
        <v>28</v>
      </c>
      <c r="G456" s="88">
        <v>137000</v>
      </c>
    </row>
    <row r="457" spans="3:7" ht="27.75" customHeight="1" x14ac:dyDescent="0.25">
      <c r="C457" s="26">
        <v>45901</v>
      </c>
      <c r="D457" s="16" t="s">
        <v>6</v>
      </c>
      <c r="E457" s="27" t="s">
        <v>2</v>
      </c>
      <c r="F457" s="27" t="s">
        <v>2</v>
      </c>
      <c r="G457" s="88">
        <v>1600000</v>
      </c>
    </row>
    <row r="458" spans="3:7" ht="27.75" customHeight="1" x14ac:dyDescent="0.25">
      <c r="C458" s="26">
        <v>45901</v>
      </c>
      <c r="D458" s="16" t="s">
        <v>6</v>
      </c>
      <c r="E458" s="27" t="s">
        <v>3</v>
      </c>
      <c r="F458" s="27" t="s">
        <v>36</v>
      </c>
      <c r="G458" s="88">
        <v>35000</v>
      </c>
    </row>
    <row r="459" spans="3:7" ht="27.75" customHeight="1" x14ac:dyDescent="0.25">
      <c r="C459" s="26">
        <v>45902</v>
      </c>
      <c r="D459" s="16" t="s">
        <v>6</v>
      </c>
      <c r="E459" s="27" t="s">
        <v>3</v>
      </c>
      <c r="F459" s="27" t="s">
        <v>33</v>
      </c>
      <c r="G459" s="88">
        <v>431000</v>
      </c>
    </row>
    <row r="460" spans="3:7" ht="27.75" customHeight="1" x14ac:dyDescent="0.25">
      <c r="C460" s="26">
        <v>45902</v>
      </c>
      <c r="D460" s="16" t="s">
        <v>6</v>
      </c>
      <c r="E460" s="27" t="s">
        <v>3</v>
      </c>
      <c r="F460" s="27" t="s">
        <v>34</v>
      </c>
      <c r="G460" s="88">
        <v>105000</v>
      </c>
    </row>
    <row r="461" spans="3:7" ht="27.75" customHeight="1" x14ac:dyDescent="0.25">
      <c r="C461" s="26">
        <v>45902</v>
      </c>
      <c r="D461" s="16" t="s">
        <v>8</v>
      </c>
      <c r="E461" s="27" t="s">
        <v>14</v>
      </c>
      <c r="F461" s="27" t="s">
        <v>37</v>
      </c>
      <c r="G461" s="88">
        <v>292000</v>
      </c>
    </row>
    <row r="462" spans="3:7" ht="27.75" customHeight="1" x14ac:dyDescent="0.25">
      <c r="C462" s="26">
        <v>45902</v>
      </c>
      <c r="D462" s="16" t="s">
        <v>9</v>
      </c>
      <c r="E462" s="27" t="s">
        <v>17</v>
      </c>
      <c r="F462" s="27" t="s">
        <v>44</v>
      </c>
      <c r="G462" s="88">
        <v>64000</v>
      </c>
    </row>
    <row r="463" spans="3:7" ht="27.75" customHeight="1" x14ac:dyDescent="0.25">
      <c r="C463" s="26">
        <v>45903</v>
      </c>
      <c r="D463" s="16" t="s">
        <v>6</v>
      </c>
      <c r="E463" s="27" t="s">
        <v>3</v>
      </c>
      <c r="F463" s="27" t="s">
        <v>35</v>
      </c>
      <c r="G463" s="88">
        <v>190000</v>
      </c>
    </row>
    <row r="464" spans="3:7" ht="27.75" customHeight="1" x14ac:dyDescent="0.25">
      <c r="C464" s="26">
        <v>45903</v>
      </c>
      <c r="D464" s="16" t="s">
        <v>6</v>
      </c>
      <c r="E464" s="27" t="s">
        <v>5</v>
      </c>
      <c r="F464" s="27" t="s">
        <v>27</v>
      </c>
      <c r="G464" s="88">
        <v>52000</v>
      </c>
    </row>
    <row r="465" spans="3:7" ht="27.75" customHeight="1" x14ac:dyDescent="0.25">
      <c r="C465" s="26">
        <v>45903</v>
      </c>
      <c r="D465" s="16" t="s">
        <v>8</v>
      </c>
      <c r="E465" s="27" t="s">
        <v>4</v>
      </c>
      <c r="F465" s="27" t="s">
        <v>28</v>
      </c>
      <c r="G465" s="88">
        <v>158000</v>
      </c>
    </row>
    <row r="466" spans="3:7" ht="27.75" customHeight="1" x14ac:dyDescent="0.25">
      <c r="C466" s="26">
        <v>45903</v>
      </c>
      <c r="D466" s="16" t="s">
        <v>9</v>
      </c>
      <c r="E466" s="27" t="s">
        <v>12</v>
      </c>
      <c r="F466" s="27" t="s">
        <v>45</v>
      </c>
      <c r="G466" s="88">
        <v>307000</v>
      </c>
    </row>
    <row r="467" spans="3:7" ht="27.75" customHeight="1" x14ac:dyDescent="0.25">
      <c r="C467" s="26">
        <v>45903</v>
      </c>
      <c r="D467" s="16" t="s">
        <v>11</v>
      </c>
      <c r="E467" s="27" t="s">
        <v>20</v>
      </c>
      <c r="F467" s="27" t="s">
        <v>29</v>
      </c>
      <c r="G467" s="88">
        <v>500000</v>
      </c>
    </row>
    <row r="468" spans="3:7" ht="27.75" customHeight="1" x14ac:dyDescent="0.25">
      <c r="C468" s="26">
        <v>45904</v>
      </c>
      <c r="D468" s="16" t="s">
        <v>8</v>
      </c>
      <c r="E468" s="27" t="s">
        <v>4</v>
      </c>
      <c r="F468" s="27" t="s">
        <v>28</v>
      </c>
      <c r="G468" s="88">
        <v>100000</v>
      </c>
    </row>
    <row r="469" spans="3:7" ht="27.75" customHeight="1" x14ac:dyDescent="0.25">
      <c r="C469" s="26">
        <v>45904</v>
      </c>
      <c r="D469" s="16" t="s">
        <v>6</v>
      </c>
      <c r="E469" s="27" t="s">
        <v>5</v>
      </c>
      <c r="F469" s="27" t="s">
        <v>27</v>
      </c>
      <c r="G469" s="88">
        <v>49000</v>
      </c>
    </row>
    <row r="470" spans="3:7" ht="27.75" customHeight="1" x14ac:dyDescent="0.25">
      <c r="C470" s="26">
        <v>45905</v>
      </c>
      <c r="D470" s="16" t="s">
        <v>8</v>
      </c>
      <c r="E470" s="27" t="s">
        <v>13</v>
      </c>
      <c r="F470" s="27" t="s">
        <v>38</v>
      </c>
      <c r="G470" s="88">
        <v>85000</v>
      </c>
    </row>
    <row r="471" spans="3:7" ht="27.75" customHeight="1" x14ac:dyDescent="0.25">
      <c r="C471" s="26">
        <v>45905</v>
      </c>
      <c r="D471" s="16" t="s">
        <v>8</v>
      </c>
      <c r="E471" s="27" t="s">
        <v>4</v>
      </c>
      <c r="F471" s="27" t="s">
        <v>28</v>
      </c>
      <c r="G471" s="88">
        <v>106000</v>
      </c>
    </row>
    <row r="472" spans="3:7" ht="27.75" customHeight="1" x14ac:dyDescent="0.25">
      <c r="C472" s="26">
        <v>45905</v>
      </c>
      <c r="D472" s="16" t="s">
        <v>9</v>
      </c>
      <c r="E472" s="27" t="s">
        <v>17</v>
      </c>
      <c r="F472" s="27" t="s">
        <v>44</v>
      </c>
      <c r="G472" s="88">
        <v>76000</v>
      </c>
    </row>
    <row r="473" spans="3:7" ht="27.75" customHeight="1" x14ac:dyDescent="0.25">
      <c r="C473" s="26">
        <v>45905</v>
      </c>
      <c r="D473" s="16" t="s">
        <v>9</v>
      </c>
      <c r="E473" s="27" t="s">
        <v>15</v>
      </c>
      <c r="F473" s="27" t="s">
        <v>41</v>
      </c>
      <c r="G473" s="88">
        <v>500000</v>
      </c>
    </row>
    <row r="474" spans="3:7" ht="27.75" customHeight="1" x14ac:dyDescent="0.25">
      <c r="C474" s="26">
        <v>45906</v>
      </c>
      <c r="D474" s="16" t="s">
        <v>9</v>
      </c>
      <c r="E474" s="27" t="s">
        <v>12</v>
      </c>
      <c r="F474" s="27" t="s">
        <v>52</v>
      </c>
      <c r="G474" s="88">
        <v>53000</v>
      </c>
    </row>
    <row r="475" spans="3:7" ht="27.75" customHeight="1" x14ac:dyDescent="0.25">
      <c r="C475" s="26">
        <v>45906</v>
      </c>
      <c r="D475" s="16" t="s">
        <v>11</v>
      </c>
      <c r="E475" s="27" t="s">
        <v>21</v>
      </c>
      <c r="F475" s="27" t="s">
        <v>48</v>
      </c>
      <c r="G475" s="88">
        <v>1000000</v>
      </c>
    </row>
    <row r="476" spans="3:7" ht="27.75" customHeight="1" x14ac:dyDescent="0.25">
      <c r="C476" s="26">
        <v>45907</v>
      </c>
      <c r="D476" s="16" t="s">
        <v>6</v>
      </c>
      <c r="E476" s="27" t="s">
        <v>5</v>
      </c>
      <c r="F476" s="27" t="s">
        <v>27</v>
      </c>
      <c r="G476" s="88">
        <v>52000</v>
      </c>
    </row>
    <row r="477" spans="3:7" ht="27.75" customHeight="1" x14ac:dyDescent="0.25">
      <c r="C477" s="26">
        <v>45907</v>
      </c>
      <c r="D477" s="16" t="s">
        <v>6</v>
      </c>
      <c r="E477" s="27" t="s">
        <v>5</v>
      </c>
      <c r="F477" s="27" t="s">
        <v>50</v>
      </c>
      <c r="G477" s="88">
        <v>101000</v>
      </c>
    </row>
    <row r="478" spans="3:7" ht="27.75" customHeight="1" x14ac:dyDescent="0.25">
      <c r="C478" s="26">
        <v>45907</v>
      </c>
      <c r="D478" s="16" t="s">
        <v>6</v>
      </c>
      <c r="E478" s="27" t="s">
        <v>5</v>
      </c>
      <c r="F478" s="27" t="s">
        <v>51</v>
      </c>
      <c r="G478" s="88">
        <v>21000</v>
      </c>
    </row>
    <row r="479" spans="3:7" ht="27.75" customHeight="1" x14ac:dyDescent="0.25">
      <c r="C479" s="26">
        <v>45907</v>
      </c>
      <c r="D479" s="16" t="s">
        <v>8</v>
      </c>
      <c r="E479" s="27" t="s">
        <v>4</v>
      </c>
      <c r="F479" s="27" t="s">
        <v>28</v>
      </c>
      <c r="G479" s="88">
        <v>100000</v>
      </c>
    </row>
    <row r="480" spans="3:7" ht="27.75" customHeight="1" x14ac:dyDescent="0.25">
      <c r="C480" s="26">
        <v>45907</v>
      </c>
      <c r="D480" s="16" t="s">
        <v>9</v>
      </c>
      <c r="E480" s="27" t="s">
        <v>16</v>
      </c>
      <c r="F480" s="27" t="s">
        <v>42</v>
      </c>
      <c r="G480" s="88">
        <v>250000</v>
      </c>
    </row>
    <row r="481" spans="3:7" ht="27.75" customHeight="1" x14ac:dyDescent="0.25">
      <c r="C481" s="26">
        <v>45908</v>
      </c>
      <c r="D481" s="16" t="s">
        <v>9</v>
      </c>
      <c r="E481" s="27" t="s">
        <v>17</v>
      </c>
      <c r="F481" s="27" t="s">
        <v>44</v>
      </c>
      <c r="G481" s="88">
        <v>55000</v>
      </c>
    </row>
    <row r="482" spans="3:7" ht="27.75" customHeight="1" x14ac:dyDescent="0.25">
      <c r="C482" s="26">
        <v>45909</v>
      </c>
      <c r="D482" s="16" t="s">
        <v>6</v>
      </c>
      <c r="E482" s="27" t="s">
        <v>5</v>
      </c>
      <c r="F482" s="27" t="s">
        <v>27</v>
      </c>
      <c r="G482" s="88">
        <v>45000</v>
      </c>
    </row>
    <row r="483" spans="3:7" ht="27.75" customHeight="1" x14ac:dyDescent="0.25">
      <c r="C483" s="26">
        <v>45909</v>
      </c>
      <c r="D483" s="16" t="s">
        <v>8</v>
      </c>
      <c r="E483" s="27" t="s">
        <v>4</v>
      </c>
      <c r="F483" s="27" t="s">
        <v>28</v>
      </c>
      <c r="G483" s="88">
        <v>122000</v>
      </c>
    </row>
    <row r="484" spans="3:7" ht="27.75" customHeight="1" x14ac:dyDescent="0.25">
      <c r="C484" s="26">
        <v>45910</v>
      </c>
      <c r="D484" s="16" t="s">
        <v>8</v>
      </c>
      <c r="E484" s="27" t="s">
        <v>13</v>
      </c>
      <c r="F484" s="27" t="s">
        <v>30</v>
      </c>
      <c r="G484" s="88">
        <v>61000</v>
      </c>
    </row>
    <row r="485" spans="3:7" ht="27.75" customHeight="1" x14ac:dyDescent="0.25">
      <c r="C485" s="26">
        <v>45911</v>
      </c>
      <c r="D485" s="16" t="s">
        <v>9</v>
      </c>
      <c r="E485" s="27" t="s">
        <v>16</v>
      </c>
      <c r="F485" s="27" t="s">
        <v>43</v>
      </c>
      <c r="G485" s="88">
        <v>296000</v>
      </c>
    </row>
    <row r="486" spans="3:7" ht="27.75" customHeight="1" x14ac:dyDescent="0.25">
      <c r="C486" s="26">
        <v>45911</v>
      </c>
      <c r="D486" s="16" t="s">
        <v>8</v>
      </c>
      <c r="E486" s="27" t="s">
        <v>4</v>
      </c>
      <c r="F486" s="27" t="s">
        <v>28</v>
      </c>
      <c r="G486" s="88">
        <v>130000</v>
      </c>
    </row>
    <row r="487" spans="3:7" ht="27.75" customHeight="1" x14ac:dyDescent="0.25">
      <c r="C487" s="26">
        <v>45911</v>
      </c>
      <c r="D487" s="16" t="s">
        <v>9</v>
      </c>
      <c r="E487" s="27" t="s">
        <v>17</v>
      </c>
      <c r="F487" s="27" t="s">
        <v>44</v>
      </c>
      <c r="G487" s="88">
        <v>62000</v>
      </c>
    </row>
    <row r="488" spans="3:7" ht="27.75" customHeight="1" x14ac:dyDescent="0.25">
      <c r="C488" s="26">
        <v>45912</v>
      </c>
      <c r="D488" s="16" t="s">
        <v>9</v>
      </c>
      <c r="E488" s="27" t="s">
        <v>12</v>
      </c>
      <c r="F488" s="27" t="s">
        <v>47</v>
      </c>
      <c r="G488" s="88">
        <v>111000</v>
      </c>
    </row>
    <row r="489" spans="3:7" ht="27.75" customHeight="1" x14ac:dyDescent="0.25">
      <c r="C489" s="26">
        <v>45913</v>
      </c>
      <c r="D489" s="16" t="s">
        <v>8</v>
      </c>
      <c r="E489" s="27" t="s">
        <v>4</v>
      </c>
      <c r="F489" s="27" t="s">
        <v>28</v>
      </c>
      <c r="G489" s="88">
        <v>162000</v>
      </c>
    </row>
    <row r="490" spans="3:7" ht="27.75" customHeight="1" x14ac:dyDescent="0.25">
      <c r="C490" s="26">
        <v>45913</v>
      </c>
      <c r="D490" s="16" t="s">
        <v>10</v>
      </c>
      <c r="E490" s="27" t="s">
        <v>19</v>
      </c>
      <c r="F490" s="27" t="s">
        <v>53</v>
      </c>
      <c r="G490" s="88">
        <v>545000</v>
      </c>
    </row>
    <row r="491" spans="3:7" ht="27.75" customHeight="1" x14ac:dyDescent="0.25">
      <c r="C491" s="26">
        <v>45914</v>
      </c>
      <c r="D491" s="16" t="s">
        <v>9</v>
      </c>
      <c r="E491" s="27" t="s">
        <v>17</v>
      </c>
      <c r="F491" s="27" t="s">
        <v>44</v>
      </c>
      <c r="G491" s="88">
        <v>59000</v>
      </c>
    </row>
    <row r="492" spans="3:7" ht="27.75" customHeight="1" x14ac:dyDescent="0.25">
      <c r="C492" s="26">
        <v>45915</v>
      </c>
      <c r="D492" s="16" t="s">
        <v>6</v>
      </c>
      <c r="E492" s="27" t="s">
        <v>5</v>
      </c>
      <c r="F492" s="27" t="s">
        <v>27</v>
      </c>
      <c r="G492" s="88">
        <v>58000</v>
      </c>
    </row>
    <row r="493" spans="3:7" ht="27.75" customHeight="1" x14ac:dyDescent="0.25">
      <c r="C493" s="26">
        <v>45915</v>
      </c>
      <c r="D493" s="16" t="s">
        <v>8</v>
      </c>
      <c r="E493" s="27" t="s">
        <v>14</v>
      </c>
      <c r="F493" s="27" t="s">
        <v>40</v>
      </c>
      <c r="G493" s="88">
        <v>118000</v>
      </c>
    </row>
    <row r="494" spans="3:7" ht="27.75" customHeight="1" x14ac:dyDescent="0.25">
      <c r="C494" s="26">
        <v>45916</v>
      </c>
      <c r="D494" s="16" t="s">
        <v>8</v>
      </c>
      <c r="E494" s="27" t="s">
        <v>4</v>
      </c>
      <c r="F494" s="27" t="s">
        <v>28</v>
      </c>
      <c r="G494" s="88">
        <v>192000</v>
      </c>
    </row>
    <row r="495" spans="3:7" ht="27.75" customHeight="1" x14ac:dyDescent="0.25">
      <c r="C495" s="26">
        <v>45917</v>
      </c>
      <c r="D495" s="16" t="s">
        <v>8</v>
      </c>
      <c r="E495" s="27" t="s">
        <v>4</v>
      </c>
      <c r="F495" s="27" t="s">
        <v>28</v>
      </c>
      <c r="G495" s="88">
        <v>141000</v>
      </c>
    </row>
    <row r="496" spans="3:7" ht="27.75" customHeight="1" x14ac:dyDescent="0.25">
      <c r="C496" s="26">
        <v>45918</v>
      </c>
      <c r="D496" s="16" t="s">
        <v>9</v>
      </c>
      <c r="E496" s="27" t="s">
        <v>17</v>
      </c>
      <c r="F496" s="27" t="s">
        <v>44</v>
      </c>
      <c r="G496" s="88">
        <v>68000</v>
      </c>
    </row>
    <row r="497" spans="3:7" ht="27.75" customHeight="1" x14ac:dyDescent="0.25">
      <c r="C497" s="26">
        <v>45919</v>
      </c>
      <c r="D497" s="16" t="s">
        <v>8</v>
      </c>
      <c r="E497" s="27" t="s">
        <v>4</v>
      </c>
      <c r="F497" s="27" t="s">
        <v>28</v>
      </c>
      <c r="G497" s="88">
        <v>117000</v>
      </c>
    </row>
    <row r="498" spans="3:7" ht="27.75" customHeight="1" x14ac:dyDescent="0.25">
      <c r="C498" s="26">
        <v>45920</v>
      </c>
      <c r="D498" s="16" t="s">
        <v>6</v>
      </c>
      <c r="E498" s="27" t="s">
        <v>5</v>
      </c>
      <c r="F498" s="27" t="s">
        <v>27</v>
      </c>
      <c r="G498" s="88">
        <v>49000</v>
      </c>
    </row>
    <row r="499" spans="3:7" ht="27.75" customHeight="1" x14ac:dyDescent="0.25">
      <c r="C499" s="26">
        <v>45920</v>
      </c>
      <c r="D499" s="16" t="s">
        <v>8</v>
      </c>
      <c r="E499" s="27" t="s">
        <v>13</v>
      </c>
      <c r="F499" s="27" t="s">
        <v>39</v>
      </c>
      <c r="G499" s="88">
        <v>65000</v>
      </c>
    </row>
    <row r="500" spans="3:7" ht="27.75" customHeight="1" x14ac:dyDescent="0.25">
      <c r="C500" s="26">
        <v>45920</v>
      </c>
      <c r="D500" s="16" t="s">
        <v>9</v>
      </c>
      <c r="E500" s="27" t="s">
        <v>17</v>
      </c>
      <c r="F500" s="27" t="s">
        <v>44</v>
      </c>
      <c r="G500" s="88">
        <v>53000</v>
      </c>
    </row>
    <row r="501" spans="3:7" ht="27.75" customHeight="1" x14ac:dyDescent="0.25">
      <c r="C501" s="26">
        <v>45921</v>
      </c>
      <c r="D501" s="16" t="s">
        <v>8</v>
      </c>
      <c r="E501" s="27" t="s">
        <v>4</v>
      </c>
      <c r="F501" s="27" t="s">
        <v>28</v>
      </c>
      <c r="G501" s="88">
        <v>155000</v>
      </c>
    </row>
    <row r="502" spans="3:7" ht="27.75" customHeight="1" x14ac:dyDescent="0.25">
      <c r="C502" s="26">
        <v>45922</v>
      </c>
      <c r="D502" s="16" t="s">
        <v>8</v>
      </c>
      <c r="E502" s="27" t="s">
        <v>4</v>
      </c>
      <c r="F502" s="27" t="s">
        <v>28</v>
      </c>
      <c r="G502" s="88">
        <v>120000</v>
      </c>
    </row>
    <row r="503" spans="3:7" ht="27.75" customHeight="1" x14ac:dyDescent="0.25">
      <c r="C503" s="26">
        <v>45923</v>
      </c>
      <c r="D503" s="16" t="s">
        <v>9</v>
      </c>
      <c r="E503" s="27" t="s">
        <v>12</v>
      </c>
      <c r="F503" s="27" t="s">
        <v>46</v>
      </c>
      <c r="G503" s="88">
        <v>101000</v>
      </c>
    </row>
    <row r="504" spans="3:7" ht="27.75" customHeight="1" x14ac:dyDescent="0.25">
      <c r="C504" s="26">
        <v>45923</v>
      </c>
      <c r="D504" s="16" t="s">
        <v>10</v>
      </c>
      <c r="E504" s="27" t="s">
        <v>18</v>
      </c>
      <c r="F504" s="27" t="s">
        <v>54</v>
      </c>
      <c r="G504" s="88">
        <v>261000</v>
      </c>
    </row>
    <row r="505" spans="3:7" ht="27.75" customHeight="1" x14ac:dyDescent="0.25">
      <c r="C505" s="26">
        <v>45924</v>
      </c>
      <c r="D505" s="16" t="s">
        <v>6</v>
      </c>
      <c r="E505" s="27" t="s">
        <v>5</v>
      </c>
      <c r="F505" s="27" t="s">
        <v>27</v>
      </c>
      <c r="G505" s="88">
        <v>54000</v>
      </c>
    </row>
    <row r="506" spans="3:7" ht="27.75" customHeight="1" x14ac:dyDescent="0.25">
      <c r="C506" s="26">
        <v>45925</v>
      </c>
      <c r="D506" s="16" t="s">
        <v>8</v>
      </c>
      <c r="E506" s="27" t="s">
        <v>13</v>
      </c>
      <c r="F506" s="27" t="s">
        <v>30</v>
      </c>
      <c r="G506" s="88">
        <v>78000</v>
      </c>
    </row>
    <row r="507" spans="3:7" ht="27.75" customHeight="1" x14ac:dyDescent="0.25">
      <c r="C507" s="26">
        <v>45925</v>
      </c>
      <c r="D507" s="16" t="s">
        <v>8</v>
      </c>
      <c r="E507" s="27" t="s">
        <v>4</v>
      </c>
      <c r="F507" s="27" t="s">
        <v>28</v>
      </c>
      <c r="G507" s="88">
        <v>122000</v>
      </c>
    </row>
    <row r="508" spans="3:7" ht="27.75" customHeight="1" x14ac:dyDescent="0.25">
      <c r="C508" s="26">
        <v>45927</v>
      </c>
      <c r="D508" s="16" t="s">
        <v>9</v>
      </c>
      <c r="E508" s="27" t="s">
        <v>16</v>
      </c>
      <c r="F508" s="27" t="s">
        <v>42</v>
      </c>
      <c r="G508" s="88">
        <v>250000</v>
      </c>
    </row>
    <row r="509" spans="3:7" ht="27.75" customHeight="1" x14ac:dyDescent="0.25">
      <c r="C509" s="26">
        <v>45927</v>
      </c>
      <c r="D509" s="16" t="s">
        <v>8</v>
      </c>
      <c r="E509" s="27" t="s">
        <v>4</v>
      </c>
      <c r="F509" s="27" t="s">
        <v>28</v>
      </c>
      <c r="G509" s="88">
        <v>95000</v>
      </c>
    </row>
    <row r="510" spans="3:7" ht="27.75" customHeight="1" x14ac:dyDescent="0.25">
      <c r="C510" s="26">
        <v>45928</v>
      </c>
      <c r="D510" s="16" t="s">
        <v>6</v>
      </c>
      <c r="E510" s="27" t="s">
        <v>5</v>
      </c>
      <c r="F510" s="27" t="s">
        <v>27</v>
      </c>
      <c r="G510" s="88">
        <v>46000</v>
      </c>
    </row>
    <row r="511" spans="3:7" ht="27.75" customHeight="1" x14ac:dyDescent="0.25">
      <c r="C511" s="26">
        <v>45929</v>
      </c>
      <c r="D511" s="16" t="s">
        <v>8</v>
      </c>
      <c r="E511" s="27" t="s">
        <v>4</v>
      </c>
      <c r="F511" s="27" t="s">
        <v>28</v>
      </c>
      <c r="G511" s="88">
        <v>114000</v>
      </c>
    </row>
    <row r="512" spans="3:7" ht="27.75" customHeight="1" x14ac:dyDescent="0.25">
      <c r="C512" s="26">
        <v>45929</v>
      </c>
      <c r="D512" s="16" t="s">
        <v>6</v>
      </c>
      <c r="E512" s="27" t="s">
        <v>5</v>
      </c>
      <c r="F512" s="27" t="s">
        <v>27</v>
      </c>
      <c r="G512" s="88">
        <v>54000</v>
      </c>
    </row>
    <row r="513" spans="3:7" ht="27.75" customHeight="1" x14ac:dyDescent="0.25">
      <c r="C513" s="26">
        <v>45930</v>
      </c>
      <c r="D513" s="16" t="s">
        <v>8</v>
      </c>
      <c r="E513" s="27" t="s">
        <v>4</v>
      </c>
      <c r="F513" s="27" t="s">
        <v>28</v>
      </c>
      <c r="G513" s="88">
        <v>148000</v>
      </c>
    </row>
    <row r="514" spans="3:7" ht="27.75" customHeight="1" x14ac:dyDescent="0.25">
      <c r="C514" s="26">
        <v>45930</v>
      </c>
      <c r="D514" s="16" t="s">
        <v>6</v>
      </c>
      <c r="E514" s="27" t="s">
        <v>5</v>
      </c>
      <c r="F514" s="27" t="s">
        <v>27</v>
      </c>
      <c r="G514" s="88">
        <v>55000</v>
      </c>
    </row>
    <row r="515" spans="3:7" ht="27.75" customHeight="1" x14ac:dyDescent="0.25">
      <c r="C515" s="26">
        <v>45930</v>
      </c>
      <c r="D515" s="16" t="s">
        <v>8</v>
      </c>
      <c r="E515" s="27" t="s">
        <v>4</v>
      </c>
      <c r="F515" s="27" t="s">
        <v>28</v>
      </c>
      <c r="G515" s="88">
        <v>129000</v>
      </c>
    </row>
    <row r="516" spans="3:7" ht="27.75" customHeight="1" x14ac:dyDescent="0.25">
      <c r="C516" s="26">
        <v>45931</v>
      </c>
      <c r="D516" s="16" t="s">
        <v>6</v>
      </c>
      <c r="E516" s="27" t="s">
        <v>3</v>
      </c>
      <c r="F516" s="27" t="s">
        <v>36</v>
      </c>
      <c r="G516" s="88">
        <v>35000</v>
      </c>
    </row>
    <row r="517" spans="3:7" ht="27.75" customHeight="1" x14ac:dyDescent="0.25">
      <c r="C517" s="26">
        <v>45931</v>
      </c>
      <c r="D517" s="16" t="s">
        <v>6</v>
      </c>
      <c r="E517" s="27" t="s">
        <v>3</v>
      </c>
      <c r="F517" s="27" t="s">
        <v>33</v>
      </c>
      <c r="G517" s="88">
        <v>401000</v>
      </c>
    </row>
    <row r="518" spans="3:7" ht="27.75" customHeight="1" x14ac:dyDescent="0.25">
      <c r="C518" s="26">
        <v>45931</v>
      </c>
      <c r="D518" s="16" t="s">
        <v>6</v>
      </c>
      <c r="E518" s="27" t="s">
        <v>3</v>
      </c>
      <c r="F518" s="27" t="s">
        <v>34</v>
      </c>
      <c r="G518" s="88">
        <v>100000</v>
      </c>
    </row>
    <row r="519" spans="3:7" ht="27.75" customHeight="1" x14ac:dyDescent="0.25">
      <c r="C519" s="26">
        <v>45932</v>
      </c>
      <c r="D519" s="16" t="s">
        <v>6</v>
      </c>
      <c r="E519" s="27" t="s">
        <v>2</v>
      </c>
      <c r="F519" s="27" t="s">
        <v>2</v>
      </c>
      <c r="G519" s="88">
        <v>500000</v>
      </c>
    </row>
    <row r="520" spans="3:7" ht="27.75" customHeight="1" x14ac:dyDescent="0.25">
      <c r="C520" s="26">
        <v>45932</v>
      </c>
      <c r="D520" s="16" t="s">
        <v>9</v>
      </c>
      <c r="E520" s="27" t="s">
        <v>17</v>
      </c>
      <c r="F520" s="27" t="s">
        <v>44</v>
      </c>
      <c r="G520" s="88">
        <v>63000</v>
      </c>
    </row>
    <row r="521" spans="3:7" ht="27.75" customHeight="1" x14ac:dyDescent="0.25">
      <c r="C521" s="26">
        <v>45933</v>
      </c>
      <c r="D521" s="16" t="s">
        <v>8</v>
      </c>
      <c r="E521" s="27" t="s">
        <v>14</v>
      </c>
      <c r="F521" s="27" t="s">
        <v>37</v>
      </c>
      <c r="G521" s="88">
        <v>292000</v>
      </c>
    </row>
    <row r="522" spans="3:7" ht="27.75" customHeight="1" x14ac:dyDescent="0.25">
      <c r="C522" s="26">
        <v>45933</v>
      </c>
      <c r="D522" s="16" t="s">
        <v>6</v>
      </c>
      <c r="E522" s="27" t="s">
        <v>5</v>
      </c>
      <c r="F522" s="27" t="s">
        <v>27</v>
      </c>
      <c r="G522" s="88">
        <v>49000</v>
      </c>
    </row>
    <row r="523" spans="3:7" ht="27.75" customHeight="1" x14ac:dyDescent="0.25">
      <c r="C523" s="26">
        <v>45938</v>
      </c>
      <c r="D523" s="16" t="s">
        <v>8</v>
      </c>
      <c r="E523" s="27" t="s">
        <v>4</v>
      </c>
      <c r="F523" s="27" t="s">
        <v>28</v>
      </c>
      <c r="G523" s="88">
        <v>149000</v>
      </c>
    </row>
    <row r="524" spans="3:7" ht="27.75" customHeight="1" x14ac:dyDescent="0.25">
      <c r="C524" s="26">
        <v>45933</v>
      </c>
      <c r="D524" s="16" t="s">
        <v>9</v>
      </c>
      <c r="E524" s="27" t="s">
        <v>12</v>
      </c>
      <c r="F524" s="27" t="s">
        <v>45</v>
      </c>
      <c r="G524" s="88">
        <v>301000</v>
      </c>
    </row>
    <row r="525" spans="3:7" ht="27.75" customHeight="1" x14ac:dyDescent="0.25">
      <c r="C525" s="26">
        <v>45934</v>
      </c>
      <c r="D525" s="16" t="s">
        <v>8</v>
      </c>
      <c r="E525" s="27" t="s">
        <v>4</v>
      </c>
      <c r="F525" s="27" t="s">
        <v>28</v>
      </c>
      <c r="G525" s="88">
        <v>100000</v>
      </c>
    </row>
    <row r="526" spans="3:7" ht="27.75" customHeight="1" x14ac:dyDescent="0.25">
      <c r="C526" s="26">
        <v>45934</v>
      </c>
      <c r="D526" s="16" t="s">
        <v>6</v>
      </c>
      <c r="E526" s="27" t="s">
        <v>5</v>
      </c>
      <c r="F526" s="27" t="s">
        <v>27</v>
      </c>
      <c r="G526" s="88">
        <v>47000</v>
      </c>
    </row>
    <row r="527" spans="3:7" ht="27.75" customHeight="1" x14ac:dyDescent="0.25">
      <c r="C527" s="26">
        <v>45935</v>
      </c>
      <c r="D527" s="16" t="s">
        <v>8</v>
      </c>
      <c r="E527" s="27" t="s">
        <v>13</v>
      </c>
      <c r="F527" s="27" t="s">
        <v>38</v>
      </c>
      <c r="G527" s="88">
        <v>82000</v>
      </c>
    </row>
    <row r="528" spans="3:7" ht="27.75" customHeight="1" x14ac:dyDescent="0.25">
      <c r="C528" s="26">
        <v>45935</v>
      </c>
      <c r="D528" s="16" t="s">
        <v>9</v>
      </c>
      <c r="E528" s="27" t="s">
        <v>17</v>
      </c>
      <c r="F528" s="27" t="s">
        <v>44</v>
      </c>
      <c r="G528" s="88">
        <v>68000</v>
      </c>
    </row>
    <row r="529" spans="3:7" ht="27.75" customHeight="1" x14ac:dyDescent="0.25">
      <c r="C529" s="26">
        <v>45935</v>
      </c>
      <c r="D529" s="16" t="s">
        <v>9</v>
      </c>
      <c r="E529" s="27" t="s">
        <v>15</v>
      </c>
      <c r="F529" s="27" t="s">
        <v>41</v>
      </c>
      <c r="G529" s="88">
        <v>500000</v>
      </c>
    </row>
    <row r="530" spans="3:7" ht="27.75" customHeight="1" x14ac:dyDescent="0.25">
      <c r="C530" s="26">
        <v>45936</v>
      </c>
      <c r="D530" s="16" t="s">
        <v>9</v>
      </c>
      <c r="E530" s="27" t="s">
        <v>12</v>
      </c>
      <c r="F530" s="27" t="s">
        <v>52</v>
      </c>
      <c r="G530" s="88">
        <v>52000</v>
      </c>
    </row>
    <row r="531" spans="3:7" ht="27.75" customHeight="1" x14ac:dyDescent="0.25">
      <c r="C531" s="26">
        <v>45936</v>
      </c>
      <c r="D531" s="16" t="s">
        <v>11</v>
      </c>
      <c r="E531" s="27" t="s">
        <v>21</v>
      </c>
      <c r="F531" s="27" t="s">
        <v>48</v>
      </c>
      <c r="G531" s="88">
        <v>500000</v>
      </c>
    </row>
    <row r="532" spans="3:7" ht="27.75" customHeight="1" x14ac:dyDescent="0.25">
      <c r="C532" s="26">
        <v>45937</v>
      </c>
      <c r="D532" s="16" t="s">
        <v>6</v>
      </c>
      <c r="E532" s="27" t="s">
        <v>5</v>
      </c>
      <c r="F532" s="27" t="s">
        <v>27</v>
      </c>
      <c r="G532" s="88">
        <v>52000</v>
      </c>
    </row>
    <row r="533" spans="3:7" ht="27.75" customHeight="1" x14ac:dyDescent="0.25">
      <c r="C533" s="26">
        <v>45937</v>
      </c>
      <c r="D533" s="16" t="s">
        <v>6</v>
      </c>
      <c r="E533" s="27" t="s">
        <v>5</v>
      </c>
      <c r="F533" s="27" t="s">
        <v>50</v>
      </c>
      <c r="G533" s="88">
        <v>98000</v>
      </c>
    </row>
    <row r="534" spans="3:7" ht="27.75" customHeight="1" x14ac:dyDescent="0.25">
      <c r="C534" s="26">
        <v>45937</v>
      </c>
      <c r="D534" s="16" t="s">
        <v>6</v>
      </c>
      <c r="E534" s="27" t="s">
        <v>5</v>
      </c>
      <c r="F534" s="27" t="s">
        <v>51</v>
      </c>
      <c r="G534" s="88">
        <v>20000</v>
      </c>
    </row>
    <row r="535" spans="3:7" ht="27.75" customHeight="1" x14ac:dyDescent="0.25">
      <c r="C535" s="26">
        <v>45937</v>
      </c>
      <c r="D535" s="16" t="s">
        <v>8</v>
      </c>
      <c r="E535" s="27" t="s">
        <v>4</v>
      </c>
      <c r="F535" s="27" t="s">
        <v>28</v>
      </c>
      <c r="G535" s="88">
        <v>95000</v>
      </c>
    </row>
    <row r="536" spans="3:7" ht="27.75" customHeight="1" x14ac:dyDescent="0.25">
      <c r="C536" s="26">
        <v>45937</v>
      </c>
      <c r="D536" s="16" t="s">
        <v>9</v>
      </c>
      <c r="E536" s="27" t="s">
        <v>16</v>
      </c>
      <c r="F536" s="27" t="s">
        <v>42</v>
      </c>
      <c r="G536" s="88">
        <v>190000</v>
      </c>
    </row>
    <row r="537" spans="3:7" ht="27.75" customHeight="1" x14ac:dyDescent="0.25">
      <c r="C537" s="26">
        <v>45938</v>
      </c>
      <c r="D537" s="16" t="s">
        <v>9</v>
      </c>
      <c r="E537" s="27" t="s">
        <v>17</v>
      </c>
      <c r="F537" s="27" t="s">
        <v>44</v>
      </c>
      <c r="G537" s="88">
        <v>53000</v>
      </c>
    </row>
    <row r="538" spans="3:7" ht="27.75" customHeight="1" x14ac:dyDescent="0.25">
      <c r="C538" s="26">
        <v>45939</v>
      </c>
      <c r="D538" s="16" t="s">
        <v>6</v>
      </c>
      <c r="E538" s="27" t="s">
        <v>5</v>
      </c>
      <c r="F538" s="27" t="s">
        <v>27</v>
      </c>
      <c r="G538" s="88">
        <v>41000</v>
      </c>
    </row>
    <row r="539" spans="3:7" ht="27.75" customHeight="1" x14ac:dyDescent="0.25">
      <c r="C539" s="26">
        <v>45939</v>
      </c>
      <c r="D539" s="16" t="s">
        <v>8</v>
      </c>
      <c r="E539" s="27" t="s">
        <v>4</v>
      </c>
      <c r="F539" s="27" t="s">
        <v>28</v>
      </c>
      <c r="G539" s="88">
        <v>121000</v>
      </c>
    </row>
    <row r="540" spans="3:7" ht="27.75" customHeight="1" x14ac:dyDescent="0.25">
      <c r="C540" s="26">
        <v>45940</v>
      </c>
      <c r="D540" s="16" t="s">
        <v>11</v>
      </c>
      <c r="E540" s="27" t="s">
        <v>20</v>
      </c>
      <c r="F540" s="27" t="s">
        <v>29</v>
      </c>
      <c r="G540" s="88">
        <v>500000</v>
      </c>
    </row>
    <row r="541" spans="3:7" ht="27.75" customHeight="1" x14ac:dyDescent="0.25">
      <c r="C541" s="26">
        <v>45940</v>
      </c>
      <c r="D541" s="16" t="s">
        <v>8</v>
      </c>
      <c r="E541" s="27" t="s">
        <v>13</v>
      </c>
      <c r="F541" s="27" t="s">
        <v>30</v>
      </c>
      <c r="G541" s="88">
        <v>56000</v>
      </c>
    </row>
    <row r="542" spans="3:7" ht="27.75" customHeight="1" x14ac:dyDescent="0.25">
      <c r="C542" s="26">
        <v>45941</v>
      </c>
      <c r="D542" s="16" t="s">
        <v>9</v>
      </c>
      <c r="E542" s="27" t="s">
        <v>16</v>
      </c>
      <c r="F542" s="27" t="s">
        <v>43</v>
      </c>
      <c r="G542" s="88">
        <v>269000</v>
      </c>
    </row>
    <row r="543" spans="3:7" ht="27.75" customHeight="1" x14ac:dyDescent="0.25">
      <c r="C543" s="26">
        <v>45941</v>
      </c>
      <c r="D543" s="16" t="s">
        <v>8</v>
      </c>
      <c r="E543" s="27" t="s">
        <v>4</v>
      </c>
      <c r="F543" s="27" t="s">
        <v>28</v>
      </c>
      <c r="G543" s="88">
        <v>118000</v>
      </c>
    </row>
    <row r="544" spans="3:7" ht="27.75" customHeight="1" x14ac:dyDescent="0.25">
      <c r="C544" s="26">
        <v>45941</v>
      </c>
      <c r="D544" s="16" t="s">
        <v>9</v>
      </c>
      <c r="E544" s="27" t="s">
        <v>17</v>
      </c>
      <c r="F544" s="27" t="s">
        <v>44</v>
      </c>
      <c r="G544" s="88">
        <v>60000</v>
      </c>
    </row>
    <row r="545" spans="3:7" ht="27.75" customHeight="1" x14ac:dyDescent="0.25">
      <c r="C545" s="26">
        <v>45942</v>
      </c>
      <c r="D545" s="16" t="s">
        <v>9</v>
      </c>
      <c r="E545" s="27" t="s">
        <v>12</v>
      </c>
      <c r="F545" s="27" t="s">
        <v>47</v>
      </c>
      <c r="G545" s="88">
        <v>107000</v>
      </c>
    </row>
    <row r="546" spans="3:7" ht="27.75" customHeight="1" x14ac:dyDescent="0.25">
      <c r="C546" s="26">
        <v>45943</v>
      </c>
      <c r="D546" s="16" t="s">
        <v>10</v>
      </c>
      <c r="E546" s="27" t="s">
        <v>19</v>
      </c>
      <c r="F546" s="27" t="s">
        <v>53</v>
      </c>
      <c r="G546" s="88">
        <v>500000</v>
      </c>
    </row>
    <row r="547" spans="3:7" ht="27.75" customHeight="1" x14ac:dyDescent="0.25">
      <c r="C547" s="26">
        <v>45944</v>
      </c>
      <c r="D547" s="16" t="s">
        <v>9</v>
      </c>
      <c r="E547" s="27" t="s">
        <v>17</v>
      </c>
      <c r="F547" s="27" t="s">
        <v>44</v>
      </c>
      <c r="G547" s="88">
        <v>58000</v>
      </c>
    </row>
    <row r="548" spans="3:7" ht="27.75" customHeight="1" x14ac:dyDescent="0.25">
      <c r="C548" s="26">
        <v>45945</v>
      </c>
      <c r="D548" s="16" t="s">
        <v>6</v>
      </c>
      <c r="E548" s="27" t="s">
        <v>5</v>
      </c>
      <c r="F548" s="27" t="s">
        <v>27</v>
      </c>
      <c r="G548" s="88">
        <v>53000</v>
      </c>
    </row>
    <row r="549" spans="3:7" ht="27.75" customHeight="1" x14ac:dyDescent="0.25">
      <c r="C549" s="26">
        <v>45945</v>
      </c>
      <c r="D549" s="16" t="s">
        <v>8</v>
      </c>
      <c r="E549" s="27" t="s">
        <v>14</v>
      </c>
      <c r="F549" s="27" t="s">
        <v>40</v>
      </c>
      <c r="G549" s="88">
        <v>111000</v>
      </c>
    </row>
    <row r="550" spans="3:7" ht="27.75" customHeight="1" x14ac:dyDescent="0.25">
      <c r="C550" s="26">
        <v>45946</v>
      </c>
      <c r="D550" s="16" t="s">
        <v>8</v>
      </c>
      <c r="E550" s="27" t="s">
        <v>4</v>
      </c>
      <c r="F550" s="27" t="s">
        <v>28</v>
      </c>
      <c r="G550" s="88">
        <v>192000</v>
      </c>
    </row>
    <row r="551" spans="3:7" ht="27.75" customHeight="1" x14ac:dyDescent="0.25">
      <c r="C551" s="26">
        <v>45947</v>
      </c>
      <c r="D551" s="16" t="s">
        <v>8</v>
      </c>
      <c r="E551" s="27" t="s">
        <v>4</v>
      </c>
      <c r="F551" s="27" t="s">
        <v>28</v>
      </c>
      <c r="G551" s="88">
        <v>133000</v>
      </c>
    </row>
    <row r="552" spans="3:7" ht="27.75" customHeight="1" x14ac:dyDescent="0.25">
      <c r="C552" s="26">
        <v>45948</v>
      </c>
      <c r="D552" s="16" t="s">
        <v>6</v>
      </c>
      <c r="E552" s="27" t="s">
        <v>2</v>
      </c>
      <c r="F552" s="27" t="s">
        <v>2</v>
      </c>
      <c r="G552" s="88">
        <v>500000</v>
      </c>
    </row>
    <row r="553" spans="3:7" ht="27.75" customHeight="1" x14ac:dyDescent="0.25">
      <c r="C553" s="26">
        <v>45948</v>
      </c>
      <c r="D553" s="16" t="s">
        <v>9</v>
      </c>
      <c r="E553" s="27" t="s">
        <v>17</v>
      </c>
      <c r="F553" s="27" t="s">
        <v>44</v>
      </c>
      <c r="G553" s="88">
        <v>63000</v>
      </c>
    </row>
    <row r="554" spans="3:7" ht="27.75" customHeight="1" x14ac:dyDescent="0.25">
      <c r="C554" s="26">
        <v>45949</v>
      </c>
      <c r="D554" s="16" t="s">
        <v>8</v>
      </c>
      <c r="E554" s="27" t="s">
        <v>4</v>
      </c>
      <c r="F554" s="27" t="s">
        <v>28</v>
      </c>
      <c r="G554" s="88">
        <v>106000</v>
      </c>
    </row>
    <row r="555" spans="3:7" ht="27.75" customHeight="1" x14ac:dyDescent="0.25">
      <c r="C555" s="26">
        <v>45950</v>
      </c>
      <c r="D555" s="16" t="s">
        <v>6</v>
      </c>
      <c r="E555" s="27" t="s">
        <v>5</v>
      </c>
      <c r="F555" s="27" t="s">
        <v>27</v>
      </c>
      <c r="G555" s="88">
        <v>44000</v>
      </c>
    </row>
    <row r="556" spans="3:7" ht="27.75" customHeight="1" x14ac:dyDescent="0.25">
      <c r="C556" s="26">
        <v>45950</v>
      </c>
      <c r="D556" s="16" t="s">
        <v>8</v>
      </c>
      <c r="E556" s="27" t="s">
        <v>13</v>
      </c>
      <c r="F556" s="27" t="s">
        <v>39</v>
      </c>
      <c r="G556" s="88">
        <v>62000</v>
      </c>
    </row>
    <row r="557" spans="3:7" ht="27.75" customHeight="1" x14ac:dyDescent="0.25">
      <c r="C557" s="26">
        <v>45950</v>
      </c>
      <c r="D557" s="16" t="s">
        <v>9</v>
      </c>
      <c r="E557" s="27" t="s">
        <v>17</v>
      </c>
      <c r="F557" s="27" t="s">
        <v>44</v>
      </c>
      <c r="G557" s="88">
        <v>51000</v>
      </c>
    </row>
    <row r="558" spans="3:7" ht="27.75" customHeight="1" x14ac:dyDescent="0.25">
      <c r="C558" s="26">
        <v>45951</v>
      </c>
      <c r="D558" s="16" t="s">
        <v>8</v>
      </c>
      <c r="E558" s="27" t="s">
        <v>4</v>
      </c>
      <c r="F558" s="27" t="s">
        <v>28</v>
      </c>
      <c r="G558" s="88">
        <v>141000</v>
      </c>
    </row>
    <row r="559" spans="3:7" ht="27.75" customHeight="1" x14ac:dyDescent="0.25">
      <c r="C559" s="26">
        <v>45952</v>
      </c>
      <c r="D559" s="16" t="s">
        <v>8</v>
      </c>
      <c r="E559" s="27" t="s">
        <v>4</v>
      </c>
      <c r="F559" s="27" t="s">
        <v>28</v>
      </c>
      <c r="G559" s="88">
        <v>109000</v>
      </c>
    </row>
    <row r="560" spans="3:7" ht="27.75" customHeight="1" x14ac:dyDescent="0.25">
      <c r="C560" s="26">
        <v>45953</v>
      </c>
      <c r="D560" s="16" t="s">
        <v>8</v>
      </c>
      <c r="E560" s="27" t="s">
        <v>4</v>
      </c>
      <c r="F560" s="27" t="s">
        <v>28</v>
      </c>
      <c r="G560" s="88">
        <v>157000</v>
      </c>
    </row>
    <row r="561" spans="3:8" ht="27.75" customHeight="1" x14ac:dyDescent="0.25">
      <c r="C561" s="26">
        <v>45953</v>
      </c>
      <c r="D561" s="16" t="s">
        <v>9</v>
      </c>
      <c r="E561" s="27" t="s">
        <v>12</v>
      </c>
      <c r="F561" s="27" t="s">
        <v>46</v>
      </c>
      <c r="G561" s="88">
        <v>98000</v>
      </c>
      <c r="H561" s="12"/>
    </row>
    <row r="562" spans="3:8" ht="27.75" customHeight="1" x14ac:dyDescent="0.25">
      <c r="C562" s="26">
        <v>45953</v>
      </c>
      <c r="D562" s="16" t="s">
        <v>10</v>
      </c>
      <c r="E562" s="27" t="s">
        <v>18</v>
      </c>
      <c r="F562" s="27" t="s">
        <v>54</v>
      </c>
      <c r="G562" s="88">
        <v>258000</v>
      </c>
      <c r="H562" s="12"/>
    </row>
    <row r="563" spans="3:8" ht="27.75" customHeight="1" x14ac:dyDescent="0.25">
      <c r="C563" s="26">
        <v>45954</v>
      </c>
      <c r="D563" s="16" t="s">
        <v>6</v>
      </c>
      <c r="E563" s="27" t="s">
        <v>3</v>
      </c>
      <c r="F563" s="27" t="s">
        <v>35</v>
      </c>
      <c r="G563" s="88">
        <v>173000</v>
      </c>
      <c r="H563" s="12"/>
    </row>
    <row r="564" spans="3:8" ht="27.75" customHeight="1" x14ac:dyDescent="0.25">
      <c r="C564" s="26">
        <v>45954</v>
      </c>
      <c r="D564" s="16" t="s">
        <v>6</v>
      </c>
      <c r="E564" s="27" t="s">
        <v>5</v>
      </c>
      <c r="F564" s="27" t="s">
        <v>27</v>
      </c>
      <c r="G564" s="88">
        <v>53000</v>
      </c>
      <c r="H564" s="12"/>
    </row>
    <row r="565" spans="3:8" ht="27.75" customHeight="1" x14ac:dyDescent="0.25">
      <c r="C565" s="26">
        <v>45955</v>
      </c>
      <c r="D565" s="16" t="s">
        <v>8</v>
      </c>
      <c r="E565" s="27" t="s">
        <v>13</v>
      </c>
      <c r="F565" s="27" t="s">
        <v>30</v>
      </c>
      <c r="G565" s="88">
        <v>77000</v>
      </c>
      <c r="H565" s="12"/>
    </row>
    <row r="566" spans="3:8" ht="27.75" customHeight="1" x14ac:dyDescent="0.25">
      <c r="C566" s="26">
        <v>45955</v>
      </c>
      <c r="D566" s="16" t="s">
        <v>8</v>
      </c>
      <c r="E566" s="27" t="s">
        <v>4</v>
      </c>
      <c r="F566" s="27" t="s">
        <v>28</v>
      </c>
      <c r="G566" s="88">
        <v>116000</v>
      </c>
      <c r="H566" s="12"/>
    </row>
    <row r="567" spans="3:8" ht="27.75" customHeight="1" x14ac:dyDescent="0.25">
      <c r="C567" s="26">
        <v>45956</v>
      </c>
      <c r="D567" s="16" t="s">
        <v>11</v>
      </c>
      <c r="E567" s="27" t="s">
        <v>21</v>
      </c>
      <c r="F567" s="27" t="s">
        <v>48</v>
      </c>
      <c r="G567" s="88">
        <v>500000</v>
      </c>
      <c r="H567" s="12"/>
    </row>
    <row r="568" spans="3:8" ht="27.75" customHeight="1" x14ac:dyDescent="0.25">
      <c r="C568" s="26">
        <v>45957</v>
      </c>
      <c r="D568" s="16" t="s">
        <v>8</v>
      </c>
      <c r="E568" s="27" t="s">
        <v>4</v>
      </c>
      <c r="F568" s="27" t="s">
        <v>28</v>
      </c>
      <c r="G568" s="88">
        <v>94000</v>
      </c>
      <c r="H568" s="12"/>
    </row>
    <row r="569" spans="3:8" ht="27.75" customHeight="1" x14ac:dyDescent="0.25">
      <c r="C569" s="26">
        <v>45958</v>
      </c>
      <c r="D569" s="16" t="s">
        <v>8</v>
      </c>
      <c r="E569" s="27" t="s">
        <v>4</v>
      </c>
      <c r="F569" s="27" t="s">
        <v>28</v>
      </c>
      <c r="G569" s="88">
        <v>102000</v>
      </c>
      <c r="H569" s="12"/>
    </row>
    <row r="570" spans="3:8" ht="27.75" customHeight="1" x14ac:dyDescent="0.25">
      <c r="C570" s="26">
        <v>45958</v>
      </c>
      <c r="D570" s="16" t="s">
        <v>6</v>
      </c>
      <c r="E570" s="27" t="s">
        <v>5</v>
      </c>
      <c r="F570" s="27" t="s">
        <v>27</v>
      </c>
      <c r="G570" s="88">
        <v>47000</v>
      </c>
      <c r="H570" s="12"/>
    </row>
    <row r="571" spans="3:8" ht="27.75" customHeight="1" x14ac:dyDescent="0.25">
      <c r="C571" s="26">
        <v>45959</v>
      </c>
      <c r="D571" s="16" t="s">
        <v>8</v>
      </c>
      <c r="E571" s="27" t="s">
        <v>4</v>
      </c>
      <c r="F571" s="27" t="s">
        <v>28</v>
      </c>
      <c r="G571" s="88">
        <v>113000</v>
      </c>
      <c r="H571" s="12"/>
    </row>
    <row r="572" spans="3:8" ht="27.75" customHeight="1" x14ac:dyDescent="0.25">
      <c r="C572" s="26">
        <v>45959</v>
      </c>
      <c r="D572" s="16" t="s">
        <v>6</v>
      </c>
      <c r="E572" s="27" t="s">
        <v>5</v>
      </c>
      <c r="F572" s="27" t="s">
        <v>27</v>
      </c>
      <c r="G572" s="88">
        <v>51000</v>
      </c>
      <c r="H572" s="12"/>
    </row>
    <row r="573" spans="3:8" ht="27.75" customHeight="1" x14ac:dyDescent="0.25">
      <c r="C573" s="26">
        <v>45960</v>
      </c>
      <c r="D573" s="16" t="s">
        <v>8</v>
      </c>
      <c r="E573" s="27" t="s">
        <v>4</v>
      </c>
      <c r="F573" s="27" t="s">
        <v>28</v>
      </c>
      <c r="G573" s="88">
        <v>141000</v>
      </c>
      <c r="H573" s="12"/>
    </row>
    <row r="574" spans="3:8" ht="27.75" customHeight="1" x14ac:dyDescent="0.25">
      <c r="C574" s="26">
        <v>45960</v>
      </c>
      <c r="D574" s="16" t="s">
        <v>6</v>
      </c>
      <c r="E574" s="27" t="s">
        <v>5</v>
      </c>
      <c r="F574" s="27" t="s">
        <v>27</v>
      </c>
      <c r="G574" s="88">
        <v>56000</v>
      </c>
      <c r="H574" s="12"/>
    </row>
    <row r="575" spans="3:8" ht="27.75" customHeight="1" x14ac:dyDescent="0.25">
      <c r="C575" s="26">
        <v>45962</v>
      </c>
      <c r="D575" s="16" t="s">
        <v>6</v>
      </c>
      <c r="E575" s="27" t="s">
        <v>2</v>
      </c>
      <c r="F575" s="27" t="s">
        <v>2</v>
      </c>
      <c r="G575" s="88">
        <v>500000</v>
      </c>
      <c r="H575" s="12"/>
    </row>
    <row r="576" spans="3:8" ht="27.75" customHeight="1" x14ac:dyDescent="0.25">
      <c r="C576" s="26">
        <v>45975</v>
      </c>
      <c r="D576" s="16" t="s">
        <v>6</v>
      </c>
      <c r="E576" s="27" t="s">
        <v>2</v>
      </c>
      <c r="F576" s="27" t="s">
        <v>2</v>
      </c>
      <c r="G576" s="88">
        <v>500000</v>
      </c>
      <c r="H576" s="12"/>
    </row>
    <row r="577" spans="3:8" ht="27.75" customHeight="1" x14ac:dyDescent="0.25">
      <c r="C577" s="26">
        <v>45962</v>
      </c>
      <c r="D577" s="16" t="s">
        <v>6</v>
      </c>
      <c r="E577" s="27" t="s">
        <v>3</v>
      </c>
      <c r="F577" s="27" t="s">
        <v>36</v>
      </c>
      <c r="G577" s="88">
        <v>35000</v>
      </c>
      <c r="H577" s="12"/>
    </row>
    <row r="578" spans="3:8" ht="27.75" customHeight="1" x14ac:dyDescent="0.25">
      <c r="C578" s="26">
        <v>45963</v>
      </c>
      <c r="D578" s="16" t="s">
        <v>6</v>
      </c>
      <c r="E578" s="27" t="s">
        <v>3</v>
      </c>
      <c r="F578" s="27" t="s">
        <v>34</v>
      </c>
      <c r="G578" s="88">
        <v>98000</v>
      </c>
      <c r="H578" s="12"/>
    </row>
    <row r="579" spans="3:8" ht="27.75" customHeight="1" x14ac:dyDescent="0.25">
      <c r="C579" s="26">
        <v>45963</v>
      </c>
      <c r="D579" s="16" t="s">
        <v>8</v>
      </c>
      <c r="E579" s="27" t="s">
        <v>14</v>
      </c>
      <c r="F579" s="27" t="s">
        <v>37</v>
      </c>
      <c r="G579" s="88">
        <v>292000</v>
      </c>
      <c r="H579" s="12"/>
    </row>
    <row r="580" spans="3:8" ht="27.75" customHeight="1" x14ac:dyDescent="0.25">
      <c r="C580" s="26">
        <v>45963</v>
      </c>
      <c r="D580" s="16" t="s">
        <v>9</v>
      </c>
      <c r="E580" s="27" t="s">
        <v>17</v>
      </c>
      <c r="F580" s="27" t="s">
        <v>44</v>
      </c>
      <c r="G580" s="88">
        <v>59000</v>
      </c>
      <c r="H580" s="12"/>
    </row>
    <row r="581" spans="3:8" ht="27.75" customHeight="1" x14ac:dyDescent="0.25">
      <c r="C581" s="26">
        <v>45964</v>
      </c>
      <c r="D581" s="16" t="s">
        <v>6</v>
      </c>
      <c r="E581" s="27" t="s">
        <v>3</v>
      </c>
      <c r="F581" s="27" t="s">
        <v>33</v>
      </c>
      <c r="G581" s="88">
        <v>409000</v>
      </c>
      <c r="H581" s="12"/>
    </row>
    <row r="582" spans="3:8" ht="27.75" customHeight="1" x14ac:dyDescent="0.25">
      <c r="C582" s="26">
        <v>45979</v>
      </c>
      <c r="D582" s="16" t="s">
        <v>6</v>
      </c>
      <c r="E582" s="27" t="s">
        <v>3</v>
      </c>
      <c r="F582" s="27" t="s">
        <v>35</v>
      </c>
      <c r="G582" s="88">
        <v>171000</v>
      </c>
      <c r="H582" s="12"/>
    </row>
    <row r="583" spans="3:8" ht="27.75" customHeight="1" x14ac:dyDescent="0.25">
      <c r="C583" s="26">
        <v>45964</v>
      </c>
      <c r="D583" s="16" t="s">
        <v>6</v>
      </c>
      <c r="E583" s="27" t="s">
        <v>5</v>
      </c>
      <c r="F583" s="27" t="s">
        <v>27</v>
      </c>
      <c r="G583" s="88">
        <v>46000</v>
      </c>
      <c r="H583" s="12"/>
    </row>
    <row r="584" spans="3:8" ht="27.75" customHeight="1" x14ac:dyDescent="0.25">
      <c r="C584" s="26">
        <v>45964</v>
      </c>
      <c r="D584" s="16" t="s">
        <v>8</v>
      </c>
      <c r="E584" s="27" t="s">
        <v>4</v>
      </c>
      <c r="F584" s="27" t="s">
        <v>28</v>
      </c>
      <c r="G584" s="88">
        <v>140000</v>
      </c>
      <c r="H584" s="12"/>
    </row>
    <row r="585" spans="3:8" ht="27.75" customHeight="1" x14ac:dyDescent="0.25">
      <c r="C585" s="26">
        <v>45977</v>
      </c>
      <c r="D585" s="16" t="s">
        <v>9</v>
      </c>
      <c r="E585" s="27" t="s">
        <v>12</v>
      </c>
      <c r="F585" s="27" t="s">
        <v>45</v>
      </c>
      <c r="G585" s="88">
        <v>271000</v>
      </c>
      <c r="H585" s="12"/>
    </row>
    <row r="586" spans="3:8" ht="27.75" customHeight="1" x14ac:dyDescent="0.25">
      <c r="C586" s="26">
        <v>45965</v>
      </c>
      <c r="D586" s="16" t="s">
        <v>11</v>
      </c>
      <c r="E586" s="27" t="s">
        <v>20</v>
      </c>
      <c r="F586" s="27" t="s">
        <v>29</v>
      </c>
      <c r="G586" s="88">
        <v>500000</v>
      </c>
      <c r="H586" s="12"/>
    </row>
    <row r="587" spans="3:8" ht="27.75" customHeight="1" x14ac:dyDescent="0.25">
      <c r="C587" s="26">
        <v>45965</v>
      </c>
      <c r="D587" s="16" t="s">
        <v>8</v>
      </c>
      <c r="E587" s="27" t="s">
        <v>4</v>
      </c>
      <c r="F587" s="27" t="s">
        <v>28</v>
      </c>
      <c r="G587" s="88">
        <v>95000</v>
      </c>
      <c r="H587" s="12"/>
    </row>
    <row r="588" spans="3:8" ht="27.75" customHeight="1" x14ac:dyDescent="0.25">
      <c r="C588" s="26">
        <v>45965</v>
      </c>
      <c r="D588" s="16" t="s">
        <v>6</v>
      </c>
      <c r="E588" s="27" t="s">
        <v>5</v>
      </c>
      <c r="F588" s="27" t="s">
        <v>27</v>
      </c>
      <c r="G588" s="88">
        <v>43000</v>
      </c>
      <c r="H588" s="12"/>
    </row>
    <row r="589" spans="3:8" ht="27.75" customHeight="1" x14ac:dyDescent="0.25">
      <c r="C589" s="26">
        <v>45966</v>
      </c>
      <c r="D589" s="16" t="s">
        <v>8</v>
      </c>
      <c r="E589" s="27" t="s">
        <v>13</v>
      </c>
      <c r="F589" s="27" t="s">
        <v>38</v>
      </c>
      <c r="G589" s="88">
        <v>80000</v>
      </c>
      <c r="H589" s="12"/>
    </row>
    <row r="590" spans="3:8" ht="27.75" customHeight="1" x14ac:dyDescent="0.25">
      <c r="C590" s="26">
        <v>45966</v>
      </c>
      <c r="D590" s="16" t="s">
        <v>8</v>
      </c>
      <c r="E590" s="27" t="s">
        <v>4</v>
      </c>
      <c r="F590" s="27" t="s">
        <v>28</v>
      </c>
      <c r="G590" s="88">
        <v>102000</v>
      </c>
      <c r="H590" s="12"/>
    </row>
    <row r="591" spans="3:8" ht="27.75" customHeight="1" x14ac:dyDescent="0.25">
      <c r="C591" s="26">
        <v>45966</v>
      </c>
      <c r="D591" s="16" t="s">
        <v>9</v>
      </c>
      <c r="E591" s="27" t="s">
        <v>17</v>
      </c>
      <c r="F591" s="27" t="s">
        <v>44</v>
      </c>
      <c r="G591" s="88">
        <v>63000</v>
      </c>
      <c r="H591" s="12"/>
    </row>
    <row r="592" spans="3:8" ht="27.75" customHeight="1" x14ac:dyDescent="0.25">
      <c r="C592" s="26">
        <v>45967</v>
      </c>
      <c r="D592" s="16" t="s">
        <v>9</v>
      </c>
      <c r="E592" s="27" t="s">
        <v>15</v>
      </c>
      <c r="F592" s="27" t="s">
        <v>41</v>
      </c>
      <c r="G592" s="88">
        <v>500000</v>
      </c>
      <c r="H592" s="12"/>
    </row>
    <row r="593" spans="3:8" ht="27.75" customHeight="1" x14ac:dyDescent="0.25">
      <c r="C593" s="26">
        <v>45967</v>
      </c>
      <c r="D593" s="16" t="s">
        <v>9</v>
      </c>
      <c r="E593" s="27" t="s">
        <v>12</v>
      </c>
      <c r="F593" s="27" t="s">
        <v>52</v>
      </c>
      <c r="G593" s="88">
        <v>47000</v>
      </c>
      <c r="H593" s="12"/>
    </row>
    <row r="594" spans="3:8" ht="27.75" customHeight="1" x14ac:dyDescent="0.25">
      <c r="C594" s="26">
        <v>45968</v>
      </c>
      <c r="D594" s="16" t="s">
        <v>6</v>
      </c>
      <c r="E594" s="27" t="s">
        <v>5</v>
      </c>
      <c r="F594" s="27" t="s">
        <v>27</v>
      </c>
      <c r="G594" s="88">
        <v>49000</v>
      </c>
      <c r="H594" s="12"/>
    </row>
    <row r="595" spans="3:8" ht="27.75" customHeight="1" x14ac:dyDescent="0.25">
      <c r="C595" s="26">
        <v>45968</v>
      </c>
      <c r="D595" s="16" t="s">
        <v>6</v>
      </c>
      <c r="E595" s="27" t="s">
        <v>5</v>
      </c>
      <c r="F595" s="27" t="s">
        <v>50</v>
      </c>
      <c r="G595" s="88">
        <v>94000</v>
      </c>
      <c r="H595" s="12"/>
    </row>
    <row r="596" spans="3:8" ht="27.75" customHeight="1" x14ac:dyDescent="0.25">
      <c r="C596" s="26">
        <v>45968</v>
      </c>
      <c r="D596" s="16" t="s">
        <v>6</v>
      </c>
      <c r="E596" s="27" t="s">
        <v>5</v>
      </c>
      <c r="F596" s="27" t="s">
        <v>51</v>
      </c>
      <c r="G596" s="88">
        <v>18000</v>
      </c>
      <c r="H596" s="12"/>
    </row>
    <row r="597" spans="3:8" ht="27.75" customHeight="1" x14ac:dyDescent="0.25">
      <c r="C597" s="26">
        <v>45968</v>
      </c>
      <c r="D597" s="16" t="s">
        <v>8</v>
      </c>
      <c r="E597" s="27" t="s">
        <v>4</v>
      </c>
      <c r="F597" s="27" t="s">
        <v>28</v>
      </c>
      <c r="G597" s="88">
        <v>94000</v>
      </c>
      <c r="H597" s="12"/>
    </row>
    <row r="598" spans="3:8" ht="27.75" customHeight="1" x14ac:dyDescent="0.25">
      <c r="C598" s="26">
        <v>45968</v>
      </c>
      <c r="D598" s="16" t="s">
        <v>9</v>
      </c>
      <c r="E598" s="27" t="s">
        <v>16</v>
      </c>
      <c r="F598" s="27" t="s">
        <v>42</v>
      </c>
      <c r="G598" s="88">
        <v>190000</v>
      </c>
      <c r="H598" s="12"/>
    </row>
    <row r="599" spans="3:8" ht="27.75" customHeight="1" x14ac:dyDescent="0.25">
      <c r="C599" s="26">
        <v>45969</v>
      </c>
      <c r="D599" s="16" t="s">
        <v>11</v>
      </c>
      <c r="E599" s="27" t="s">
        <v>21</v>
      </c>
      <c r="F599" s="27" t="s">
        <v>48</v>
      </c>
      <c r="G599" s="88">
        <v>500000</v>
      </c>
      <c r="H599" s="12"/>
    </row>
    <row r="600" spans="3:8" ht="27.75" customHeight="1" x14ac:dyDescent="0.25">
      <c r="C600" s="26">
        <v>45971</v>
      </c>
      <c r="D600" s="16" t="s">
        <v>11</v>
      </c>
      <c r="E600" s="27" t="s">
        <v>21</v>
      </c>
      <c r="F600" s="27" t="s">
        <v>48</v>
      </c>
      <c r="G600" s="88">
        <v>500000</v>
      </c>
      <c r="H600" s="12"/>
    </row>
    <row r="601" spans="3:8" ht="27.75" customHeight="1" x14ac:dyDescent="0.25">
      <c r="C601" s="26">
        <v>45969</v>
      </c>
      <c r="D601" s="16" t="s">
        <v>9</v>
      </c>
      <c r="E601" s="27" t="s">
        <v>17</v>
      </c>
      <c r="F601" s="27" t="s">
        <v>44</v>
      </c>
      <c r="G601" s="88">
        <v>51000</v>
      </c>
      <c r="H601" s="12"/>
    </row>
    <row r="602" spans="3:8" ht="27.75" customHeight="1" x14ac:dyDescent="0.25">
      <c r="C602" s="26">
        <v>45970</v>
      </c>
      <c r="D602" s="16" t="s">
        <v>6</v>
      </c>
      <c r="E602" s="27" t="s">
        <v>5</v>
      </c>
      <c r="F602" s="27" t="s">
        <v>27</v>
      </c>
      <c r="G602" s="88">
        <v>41000</v>
      </c>
      <c r="H602" s="12"/>
    </row>
    <row r="603" spans="3:8" ht="27.75" customHeight="1" x14ac:dyDescent="0.25">
      <c r="C603" s="26">
        <v>45970</v>
      </c>
      <c r="D603" s="16" t="s">
        <v>8</v>
      </c>
      <c r="E603" s="27" t="s">
        <v>4</v>
      </c>
      <c r="F603" s="27" t="s">
        <v>28</v>
      </c>
      <c r="G603" s="88">
        <v>113000</v>
      </c>
      <c r="H603" s="12"/>
    </row>
    <row r="604" spans="3:8" ht="27.75" customHeight="1" x14ac:dyDescent="0.25">
      <c r="C604" s="26">
        <v>45971</v>
      </c>
      <c r="D604" s="16" t="s">
        <v>8</v>
      </c>
      <c r="E604" s="27" t="s">
        <v>13</v>
      </c>
      <c r="F604" s="27" t="s">
        <v>30</v>
      </c>
      <c r="G604" s="88">
        <v>53000</v>
      </c>
      <c r="H604" s="12"/>
    </row>
    <row r="605" spans="3:8" ht="27.75" customHeight="1" x14ac:dyDescent="0.25">
      <c r="C605" s="26">
        <v>45972</v>
      </c>
      <c r="D605" s="16" t="s">
        <v>9</v>
      </c>
      <c r="E605" s="27" t="s">
        <v>16</v>
      </c>
      <c r="F605" s="27" t="s">
        <v>43</v>
      </c>
      <c r="G605" s="88">
        <v>258000</v>
      </c>
      <c r="H605" s="12"/>
    </row>
    <row r="606" spans="3:8" ht="27.75" customHeight="1" x14ac:dyDescent="0.25">
      <c r="C606" s="26">
        <v>45972</v>
      </c>
      <c r="D606" s="16" t="s">
        <v>8</v>
      </c>
      <c r="E606" s="27" t="s">
        <v>4</v>
      </c>
      <c r="F606" s="27" t="s">
        <v>28</v>
      </c>
      <c r="G606" s="88">
        <v>106000</v>
      </c>
      <c r="H606" s="12"/>
    </row>
    <row r="607" spans="3:8" ht="27.75" customHeight="1" x14ac:dyDescent="0.25">
      <c r="C607" s="26">
        <v>45972</v>
      </c>
      <c r="D607" s="16" t="s">
        <v>9</v>
      </c>
      <c r="E607" s="27" t="s">
        <v>17</v>
      </c>
      <c r="F607" s="27" t="s">
        <v>44</v>
      </c>
      <c r="G607" s="88">
        <v>61000</v>
      </c>
      <c r="H607" s="12"/>
    </row>
    <row r="608" spans="3:8" ht="27.75" customHeight="1" x14ac:dyDescent="0.25">
      <c r="C608" s="26">
        <v>45973</v>
      </c>
      <c r="D608" s="16" t="s">
        <v>9</v>
      </c>
      <c r="E608" s="27" t="s">
        <v>12</v>
      </c>
      <c r="F608" s="27" t="s">
        <v>47</v>
      </c>
      <c r="G608" s="88">
        <v>102000</v>
      </c>
      <c r="H608" s="12"/>
    </row>
    <row r="609" spans="3:8" ht="27.75" customHeight="1" x14ac:dyDescent="0.25">
      <c r="C609" s="26">
        <v>45974</v>
      </c>
      <c r="D609" s="16" t="s">
        <v>8</v>
      </c>
      <c r="E609" s="27" t="s">
        <v>4</v>
      </c>
      <c r="F609" s="27" t="s">
        <v>28</v>
      </c>
      <c r="G609" s="88">
        <v>155000</v>
      </c>
      <c r="H609" s="12"/>
    </row>
    <row r="610" spans="3:8" ht="27.75" customHeight="1" x14ac:dyDescent="0.25">
      <c r="C610" s="26">
        <v>45975</v>
      </c>
      <c r="D610" s="16" t="s">
        <v>9</v>
      </c>
      <c r="E610" s="27" t="s">
        <v>17</v>
      </c>
      <c r="F610" s="27" t="s">
        <v>44</v>
      </c>
      <c r="G610" s="88">
        <v>53000</v>
      </c>
      <c r="H610" s="12"/>
    </row>
    <row r="611" spans="3:8" ht="27.75" customHeight="1" x14ac:dyDescent="0.25">
      <c r="C611" s="26">
        <v>45976</v>
      </c>
      <c r="D611" s="16" t="s">
        <v>6</v>
      </c>
      <c r="E611" s="27" t="s">
        <v>5</v>
      </c>
      <c r="F611" s="27" t="s">
        <v>27</v>
      </c>
      <c r="G611" s="88">
        <v>49000</v>
      </c>
      <c r="H611" s="12"/>
    </row>
    <row r="612" spans="3:8" ht="27.75" customHeight="1" x14ac:dyDescent="0.25">
      <c r="C612" s="26">
        <v>45976</v>
      </c>
      <c r="D612" s="16" t="s">
        <v>8</v>
      </c>
      <c r="E612" s="27" t="s">
        <v>14</v>
      </c>
      <c r="F612" s="27" t="s">
        <v>40</v>
      </c>
      <c r="G612" s="88">
        <v>104000</v>
      </c>
      <c r="H612" s="12"/>
    </row>
    <row r="613" spans="3:8" ht="27.75" customHeight="1" x14ac:dyDescent="0.25">
      <c r="C613" s="26">
        <v>45977</v>
      </c>
      <c r="D613" s="16" t="s">
        <v>8</v>
      </c>
      <c r="E613" s="27" t="s">
        <v>4</v>
      </c>
      <c r="F613" s="27" t="s">
        <v>28</v>
      </c>
      <c r="G613" s="88">
        <v>177000</v>
      </c>
      <c r="H613" s="12"/>
    </row>
    <row r="614" spans="3:8" ht="27.75" customHeight="1" x14ac:dyDescent="0.25">
      <c r="C614" s="26">
        <v>45978</v>
      </c>
      <c r="D614" s="16" t="s">
        <v>8</v>
      </c>
      <c r="E614" s="27" t="s">
        <v>4</v>
      </c>
      <c r="F614" s="27" t="s">
        <v>28</v>
      </c>
      <c r="G614" s="88">
        <v>133000</v>
      </c>
      <c r="H614" s="12"/>
    </row>
    <row r="615" spans="3:8" ht="27.75" customHeight="1" x14ac:dyDescent="0.25">
      <c r="C615" s="26">
        <v>45979</v>
      </c>
      <c r="D615" s="16" t="s">
        <v>9</v>
      </c>
      <c r="E615" s="27" t="s">
        <v>17</v>
      </c>
      <c r="F615" s="27" t="s">
        <v>44</v>
      </c>
      <c r="G615" s="88">
        <v>62000</v>
      </c>
      <c r="H615" s="12"/>
    </row>
    <row r="616" spans="3:8" ht="27.75" customHeight="1" x14ac:dyDescent="0.25">
      <c r="C616" s="26">
        <v>45980</v>
      </c>
      <c r="D616" s="16" t="s">
        <v>8</v>
      </c>
      <c r="E616" s="27" t="s">
        <v>4</v>
      </c>
      <c r="F616" s="27" t="s">
        <v>28</v>
      </c>
      <c r="G616" s="88">
        <v>100000</v>
      </c>
      <c r="H616" s="12"/>
    </row>
    <row r="617" spans="3:8" ht="27.75" customHeight="1" x14ac:dyDescent="0.25">
      <c r="C617" s="26">
        <v>45981</v>
      </c>
      <c r="D617" s="16" t="s">
        <v>6</v>
      </c>
      <c r="E617" s="27" t="s">
        <v>5</v>
      </c>
      <c r="F617" s="27" t="s">
        <v>27</v>
      </c>
      <c r="G617" s="88">
        <v>40000</v>
      </c>
      <c r="H617" s="12"/>
    </row>
    <row r="618" spans="3:8" ht="27.75" customHeight="1" x14ac:dyDescent="0.25">
      <c r="C618" s="26">
        <v>45981</v>
      </c>
      <c r="D618" s="16" t="s">
        <v>8</v>
      </c>
      <c r="E618" s="27" t="s">
        <v>13</v>
      </c>
      <c r="F618" s="27" t="s">
        <v>39</v>
      </c>
      <c r="G618" s="88">
        <v>61000</v>
      </c>
      <c r="H618" s="12"/>
    </row>
    <row r="619" spans="3:8" ht="27.75" customHeight="1" x14ac:dyDescent="0.25">
      <c r="C619" s="26">
        <v>45981</v>
      </c>
      <c r="D619" s="16" t="s">
        <v>9</v>
      </c>
      <c r="E619" s="27" t="s">
        <v>17</v>
      </c>
      <c r="F619" s="27" t="s">
        <v>44</v>
      </c>
      <c r="G619" s="88">
        <v>50000</v>
      </c>
      <c r="H619" s="12"/>
    </row>
    <row r="620" spans="3:8" ht="27.75" customHeight="1" x14ac:dyDescent="0.25">
      <c r="C620" s="26">
        <v>45982</v>
      </c>
      <c r="D620" s="16" t="s">
        <v>10</v>
      </c>
      <c r="E620" s="27" t="s">
        <v>19</v>
      </c>
      <c r="F620" s="27" t="s">
        <v>134</v>
      </c>
      <c r="G620" s="88">
        <v>500000</v>
      </c>
    </row>
    <row r="621" spans="3:8" ht="27.75" customHeight="1" x14ac:dyDescent="0.25">
      <c r="C621" s="26">
        <v>45983</v>
      </c>
      <c r="D621" s="16" t="s">
        <v>10</v>
      </c>
      <c r="E621" s="27" t="s">
        <v>18</v>
      </c>
      <c r="F621" s="27" t="s">
        <v>167</v>
      </c>
      <c r="G621" s="88">
        <v>300000</v>
      </c>
    </row>
  </sheetData>
  <conditionalFormatting sqref="D6:D621">
    <cfRule type="containsText" dxfId="69" priority="1" operator="containsText" text="Tiết kiệm, đầu tư">
      <formula>NOT(ISERROR(SEARCH("Tiết kiệm, đầu tư",D6)))</formula>
    </cfRule>
    <cfRule type="containsText" dxfId="68" priority="2" operator="containsText" text="Giải trí và xã hội">
      <formula>NOT(ISERROR(SEARCH("Giải trí và xã hội",D6)))</formula>
    </cfRule>
    <cfRule type="containsText" dxfId="67" priority="3" operator="containsText" text="Chi phí cá nhân">
      <formula>NOT(ISERROR(SEARCH("Chi phí cá nhân",D6)))</formula>
    </cfRule>
    <cfRule type="containsText" dxfId="66" priority="4" operator="containsText" text="Chi phí thiết yếu">
      <formula>NOT(ISERROR(SEARCH("Chi phí thiết yếu",D6)))</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14F20195-3B47-4916-9332-CF326976687A}">
          <x14:formula1>
            <xm:f>'Định mức'!$B$31:$B$78</xm:f>
          </x14:formula1>
          <xm:sqref>D6:D621</xm:sqref>
        </x14:dataValidation>
        <x14:dataValidation type="list" allowBlank="1" showInputMessage="1" showErrorMessage="1" xr:uid="{9EF1262C-2EBD-46B5-8C69-4144FF39A0BE}">
          <x14:formula1>
            <xm:f>_xlfn.DROP(_xlfn.TAKE(_xlfn.ANCHORARRAY('Định mức'!$F$31),_xlfn.XMATCH(D6,_xlfn.ANCHORARRAY('Định mức'!$E$31),0,-1)),_xlfn.XMATCH(D6,_xlfn.ANCHORARRAY('Định mức'!$E$31),0,1)-1)</xm:f>
          </x14:formula1>
          <xm:sqref>E6:E621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92D0-CE4E-4186-B8CD-C4E49698DB1C}">
  <sheetPr>
    <tabColor rgb="FF1FD7A5"/>
  </sheetPr>
  <dimension ref="A1:W27"/>
  <sheetViews>
    <sheetView showGridLines="0" workbookViewId="0">
      <pane ySplit="5" topLeftCell="A27" activePane="bottomLeft" state="frozen"/>
      <selection pane="bottomLeft" activeCell="D16" sqref="D16"/>
    </sheetView>
  </sheetViews>
  <sheetFormatPr defaultColWidth="14.69921875" defaultRowHeight="27.75" customHeight="1" x14ac:dyDescent="0.25"/>
  <cols>
    <col min="1" max="1" width="1.5" style="12" customWidth="1"/>
    <col min="2" max="2" width="3.59765625" style="12" customWidth="1"/>
    <col min="3" max="3" width="20.69921875" style="12" customWidth="1"/>
    <col min="4" max="4" width="32.59765625" style="12" customWidth="1"/>
    <col min="5" max="5" width="59.19921875" style="12" customWidth="1"/>
    <col min="6" max="6" width="18.69921875" style="12" customWidth="1"/>
    <col min="7" max="16384" width="14.69921875" style="12"/>
  </cols>
  <sheetData>
    <row r="1" spans="1:23" ht="10.5" customHeight="1" x14ac:dyDescent="0.25"/>
    <row r="2" spans="1:23" ht="38.25" customHeight="1" x14ac:dyDescent="0.5">
      <c r="A2" s="84"/>
      <c r="B2" s="13" t="s">
        <v>80</v>
      </c>
      <c r="C2" s="14"/>
      <c r="D2" s="14"/>
      <c r="E2" s="14"/>
      <c r="F2" s="14"/>
      <c r="G2" s="14"/>
      <c r="H2" s="14"/>
      <c r="I2" s="14"/>
      <c r="J2" s="14"/>
      <c r="K2" s="14"/>
      <c r="L2" s="14"/>
      <c r="M2" s="14"/>
      <c r="N2" s="14"/>
      <c r="O2" s="14"/>
      <c r="P2" s="14"/>
      <c r="Q2" s="14"/>
      <c r="R2" s="14"/>
      <c r="S2" s="14"/>
      <c r="T2" s="14"/>
      <c r="U2" s="14"/>
      <c r="V2" s="14"/>
      <c r="W2" s="14"/>
    </row>
    <row r="3" spans="1:23" ht="31.5" customHeight="1" x14ac:dyDescent="0.25">
      <c r="A3" s="84"/>
      <c r="B3" s="128" t="s">
        <v>81</v>
      </c>
      <c r="C3" s="25"/>
      <c r="D3" s="25"/>
      <c r="E3" s="14"/>
      <c r="F3" s="14"/>
      <c r="G3" s="14"/>
      <c r="H3" s="14"/>
      <c r="I3" s="14"/>
      <c r="J3" s="14"/>
      <c r="K3" s="14"/>
      <c r="L3" s="14"/>
      <c r="M3" s="14"/>
      <c r="N3" s="14"/>
      <c r="O3" s="14"/>
      <c r="P3" s="14"/>
      <c r="Q3" s="14"/>
      <c r="R3" s="14"/>
      <c r="S3" s="14"/>
      <c r="T3" s="14"/>
      <c r="U3" s="14"/>
      <c r="V3" s="14"/>
      <c r="W3" s="14"/>
    </row>
    <row r="5" spans="1:23" ht="33.75" customHeight="1" x14ac:dyDescent="0.25">
      <c r="C5" s="83" t="s">
        <v>109</v>
      </c>
      <c r="D5" s="83" t="s">
        <v>79</v>
      </c>
      <c r="E5" s="83" t="s">
        <v>25</v>
      </c>
      <c r="F5" s="83" t="s">
        <v>26</v>
      </c>
    </row>
    <row r="6" spans="1:23" ht="27.75" customHeight="1" x14ac:dyDescent="0.25">
      <c r="C6" s="26">
        <v>45658</v>
      </c>
      <c r="D6" s="28" t="s">
        <v>56</v>
      </c>
      <c r="E6" s="27" t="s">
        <v>55</v>
      </c>
      <c r="F6" s="85">
        <v>9000000</v>
      </c>
    </row>
    <row r="7" spans="1:23" ht="27.75" customHeight="1" x14ac:dyDescent="0.25">
      <c r="C7" s="26">
        <v>45658</v>
      </c>
      <c r="D7" s="28" t="s">
        <v>67</v>
      </c>
      <c r="E7" s="27" t="s">
        <v>68</v>
      </c>
      <c r="F7" s="85">
        <v>900000</v>
      </c>
    </row>
    <row r="8" spans="1:23" ht="27.75" customHeight="1" x14ac:dyDescent="0.25">
      <c r="C8" s="26">
        <v>45689</v>
      </c>
      <c r="D8" s="28" t="s">
        <v>56</v>
      </c>
      <c r="E8" s="27" t="s">
        <v>57</v>
      </c>
      <c r="F8" s="85">
        <v>9000000</v>
      </c>
    </row>
    <row r="9" spans="1:23" ht="27.75" customHeight="1" x14ac:dyDescent="0.25">
      <c r="C9" s="26">
        <v>45689</v>
      </c>
      <c r="D9" s="28" t="s">
        <v>67</v>
      </c>
      <c r="E9" s="27" t="s">
        <v>69</v>
      </c>
      <c r="F9" s="85">
        <v>2100000</v>
      </c>
    </row>
    <row r="10" spans="1:23" ht="27.75" customHeight="1" x14ac:dyDescent="0.25">
      <c r="C10" s="26">
        <v>45717</v>
      </c>
      <c r="D10" s="28" t="s">
        <v>56</v>
      </c>
      <c r="E10" s="27" t="s">
        <v>58</v>
      </c>
      <c r="F10" s="85">
        <v>9000000</v>
      </c>
    </row>
    <row r="11" spans="1:23" ht="27.75" customHeight="1" x14ac:dyDescent="0.25">
      <c r="C11" s="26">
        <v>45717</v>
      </c>
      <c r="D11" s="28" t="s">
        <v>67</v>
      </c>
      <c r="E11" s="27" t="s">
        <v>70</v>
      </c>
      <c r="F11" s="85">
        <v>1000000</v>
      </c>
    </row>
    <row r="12" spans="1:23" ht="27.75" customHeight="1" x14ac:dyDescent="0.25">
      <c r="C12" s="26">
        <v>45748</v>
      </c>
      <c r="D12" s="28" t="s">
        <v>56</v>
      </c>
      <c r="E12" s="27" t="s">
        <v>59</v>
      </c>
      <c r="F12" s="85">
        <v>9000000</v>
      </c>
    </row>
    <row r="13" spans="1:23" ht="27.75" customHeight="1" x14ac:dyDescent="0.25">
      <c r="C13" s="26">
        <v>45748</v>
      </c>
      <c r="D13" s="28" t="s">
        <v>67</v>
      </c>
      <c r="E13" s="27" t="s">
        <v>71</v>
      </c>
      <c r="F13" s="85">
        <v>3100000</v>
      </c>
    </row>
    <row r="14" spans="1:23" ht="27.75" customHeight="1" x14ac:dyDescent="0.25">
      <c r="C14" s="26">
        <v>45778</v>
      </c>
      <c r="D14" s="28" t="s">
        <v>56</v>
      </c>
      <c r="E14" s="27" t="s">
        <v>60</v>
      </c>
      <c r="F14" s="85">
        <v>9000000</v>
      </c>
    </row>
    <row r="15" spans="1:23" ht="27.75" customHeight="1" x14ac:dyDescent="0.25">
      <c r="C15" s="26">
        <v>45778</v>
      </c>
      <c r="D15" s="28" t="s">
        <v>67</v>
      </c>
      <c r="E15" s="27" t="s">
        <v>72</v>
      </c>
      <c r="F15" s="85">
        <v>1000000</v>
      </c>
    </row>
    <row r="16" spans="1:23" ht="27.75" customHeight="1" x14ac:dyDescent="0.25">
      <c r="C16" s="26">
        <v>45809</v>
      </c>
      <c r="D16" s="28" t="s">
        <v>56</v>
      </c>
      <c r="E16" s="27" t="s">
        <v>61</v>
      </c>
      <c r="F16" s="85">
        <v>9000000</v>
      </c>
    </row>
    <row r="17" spans="3:6" ht="27.75" customHeight="1" x14ac:dyDescent="0.25">
      <c r="C17" s="26">
        <v>45809</v>
      </c>
      <c r="D17" s="28" t="s">
        <v>67</v>
      </c>
      <c r="E17" s="27" t="s">
        <v>73</v>
      </c>
      <c r="F17" s="85">
        <v>2200000</v>
      </c>
    </row>
    <row r="18" spans="3:6" ht="27.75" customHeight="1" x14ac:dyDescent="0.25">
      <c r="C18" s="26">
        <v>45839</v>
      </c>
      <c r="D18" s="28" t="s">
        <v>56</v>
      </c>
      <c r="E18" s="27" t="s">
        <v>62</v>
      </c>
      <c r="F18" s="85">
        <v>9000000</v>
      </c>
    </row>
    <row r="19" spans="3:6" ht="27.75" customHeight="1" x14ac:dyDescent="0.25">
      <c r="C19" s="26">
        <v>45839</v>
      </c>
      <c r="D19" s="28" t="s">
        <v>67</v>
      </c>
      <c r="E19" s="27" t="s">
        <v>74</v>
      </c>
      <c r="F19" s="85">
        <v>4000000</v>
      </c>
    </row>
    <row r="20" spans="3:6" ht="27.75" customHeight="1" x14ac:dyDescent="0.25">
      <c r="C20" s="26">
        <v>45870</v>
      </c>
      <c r="D20" s="28" t="s">
        <v>56</v>
      </c>
      <c r="E20" s="27" t="s">
        <v>63</v>
      </c>
      <c r="F20" s="85">
        <v>9000000</v>
      </c>
    </row>
    <row r="21" spans="3:6" ht="27.75" customHeight="1" x14ac:dyDescent="0.25">
      <c r="C21" s="26">
        <v>45870</v>
      </c>
      <c r="D21" s="28" t="s">
        <v>67</v>
      </c>
      <c r="E21" s="27" t="s">
        <v>75</v>
      </c>
      <c r="F21" s="85">
        <v>900000</v>
      </c>
    </row>
    <row r="22" spans="3:6" ht="27.75" customHeight="1" x14ac:dyDescent="0.25">
      <c r="C22" s="26">
        <v>45901</v>
      </c>
      <c r="D22" s="28" t="s">
        <v>56</v>
      </c>
      <c r="E22" s="27" t="s">
        <v>64</v>
      </c>
      <c r="F22" s="85">
        <v>9000000</v>
      </c>
    </row>
    <row r="23" spans="3:6" ht="27.75" customHeight="1" x14ac:dyDescent="0.25">
      <c r="C23" s="26">
        <v>45901</v>
      </c>
      <c r="D23" s="28" t="s">
        <v>67</v>
      </c>
      <c r="E23" s="27" t="s">
        <v>76</v>
      </c>
      <c r="F23" s="85">
        <v>1500000</v>
      </c>
    </row>
    <row r="24" spans="3:6" ht="27.75" customHeight="1" x14ac:dyDescent="0.25">
      <c r="C24" s="26">
        <v>45931</v>
      </c>
      <c r="D24" s="28" t="s">
        <v>56</v>
      </c>
      <c r="E24" s="27" t="s">
        <v>65</v>
      </c>
      <c r="F24" s="85">
        <v>9000000</v>
      </c>
    </row>
    <row r="25" spans="3:6" ht="27.75" customHeight="1" x14ac:dyDescent="0.25">
      <c r="C25" s="26">
        <v>45931</v>
      </c>
      <c r="D25" s="28" t="s">
        <v>67</v>
      </c>
      <c r="E25" s="27" t="s">
        <v>77</v>
      </c>
      <c r="F25" s="85">
        <v>1200000</v>
      </c>
    </row>
    <row r="26" spans="3:6" ht="27.75" customHeight="1" x14ac:dyDescent="0.25">
      <c r="C26" s="26">
        <v>45962</v>
      </c>
      <c r="D26" s="28" t="s">
        <v>56</v>
      </c>
      <c r="E26" s="27" t="s">
        <v>66</v>
      </c>
      <c r="F26" s="85">
        <v>9000000</v>
      </c>
    </row>
    <row r="27" spans="3:6" ht="27.75" customHeight="1" x14ac:dyDescent="0.25">
      <c r="C27" s="26">
        <v>45962</v>
      </c>
      <c r="D27" s="28" t="s">
        <v>67</v>
      </c>
      <c r="E27" s="27" t="s">
        <v>78</v>
      </c>
      <c r="F27" s="85">
        <v>1000000</v>
      </c>
    </row>
  </sheetData>
  <phoneticPr fontId="20"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A920D-4B2C-4344-831A-582BDD2222DC}">
  <dimension ref="B1:O79"/>
  <sheetViews>
    <sheetView showGridLines="0" workbookViewId="0">
      <selection activeCell="E16" sqref="E16"/>
    </sheetView>
  </sheetViews>
  <sheetFormatPr defaultColWidth="12.59765625" defaultRowHeight="26.25" customHeight="1" x14ac:dyDescent="0.25"/>
  <cols>
    <col min="1" max="1" width="5.19921875" style="54" customWidth="1"/>
    <col min="2" max="2" width="23.59765625" style="55" customWidth="1"/>
    <col min="3" max="3" width="16.69921875" style="54" customWidth="1"/>
    <col min="4" max="4" width="5.19921875" style="54" customWidth="1"/>
    <col min="5" max="5" width="23.59765625" style="54" customWidth="1"/>
    <col min="6" max="6" width="16.69921875" style="54" customWidth="1"/>
    <col min="7" max="7" width="5.19921875" style="54" customWidth="1"/>
    <col min="8" max="8" width="23.59765625" style="54" customWidth="1"/>
    <col min="9" max="9" width="16.69921875" style="54" customWidth="1"/>
    <col min="10" max="10" width="5.19921875" style="54" customWidth="1"/>
    <col min="11" max="11" width="23.59765625" style="54" customWidth="1"/>
    <col min="12" max="12" width="16.69921875" style="54" customWidth="1"/>
    <col min="13" max="13" width="5.19921875" style="54" customWidth="1"/>
    <col min="14" max="14" width="23.59765625" style="54" customWidth="1"/>
    <col min="15" max="15" width="16.69921875" style="54" customWidth="1"/>
    <col min="16" max="16384" width="12.59765625" style="54"/>
  </cols>
  <sheetData>
    <row r="1" spans="2:15" s="18" customFormat="1" ht="39" customHeight="1" x14ac:dyDescent="0.25">
      <c r="B1" s="8" t="s">
        <v>6</v>
      </c>
      <c r="C1" s="17"/>
      <c r="E1" s="9" t="s">
        <v>8</v>
      </c>
      <c r="F1" s="17"/>
      <c r="H1" s="11" t="s">
        <v>9</v>
      </c>
      <c r="I1" s="17"/>
      <c r="K1" s="10" t="s">
        <v>11</v>
      </c>
      <c r="L1" s="17"/>
      <c r="N1" s="23" t="s">
        <v>10</v>
      </c>
      <c r="O1" s="17"/>
    </row>
    <row r="2" spans="2:15" s="1" customFormat="1" ht="30" customHeight="1" x14ac:dyDescent="0.25">
      <c r="B2" s="5" t="s">
        <v>0</v>
      </c>
      <c r="C2" s="6" t="s">
        <v>1</v>
      </c>
      <c r="E2" s="5" t="s">
        <v>0</v>
      </c>
      <c r="F2" s="6" t="s">
        <v>1</v>
      </c>
      <c r="H2" s="5" t="s">
        <v>0</v>
      </c>
      <c r="I2" s="6" t="s">
        <v>1</v>
      </c>
      <c r="K2" s="5" t="s">
        <v>0</v>
      </c>
      <c r="L2" s="6" t="s">
        <v>1</v>
      </c>
      <c r="N2" s="5" t="s">
        <v>0</v>
      </c>
      <c r="O2" s="6" t="s">
        <v>1</v>
      </c>
    </row>
    <row r="3" spans="2:15" s="4" customFormat="1" ht="30" customHeight="1" x14ac:dyDescent="0.25">
      <c r="B3" s="2" t="s">
        <v>2</v>
      </c>
      <c r="C3" s="7">
        <v>1600000</v>
      </c>
      <c r="E3" s="2" t="s">
        <v>4</v>
      </c>
      <c r="F3" s="7">
        <v>2000000</v>
      </c>
      <c r="H3" s="2" t="s">
        <v>15</v>
      </c>
      <c r="I3" s="7">
        <v>500000</v>
      </c>
      <c r="K3" s="2" t="s">
        <v>20</v>
      </c>
      <c r="L3" s="7">
        <v>500000</v>
      </c>
      <c r="N3" s="2" t="s">
        <v>18</v>
      </c>
      <c r="O3" s="7">
        <v>300000</v>
      </c>
    </row>
    <row r="4" spans="2:15" s="4" customFormat="1" ht="30" customHeight="1" x14ac:dyDescent="0.25">
      <c r="B4" s="2" t="s">
        <v>3</v>
      </c>
      <c r="C4" s="7">
        <v>800000</v>
      </c>
      <c r="E4" s="2" t="s">
        <v>14</v>
      </c>
      <c r="F4" s="7">
        <v>500000</v>
      </c>
      <c r="H4" s="2" t="s">
        <v>16</v>
      </c>
      <c r="I4" s="7">
        <v>500000</v>
      </c>
      <c r="K4" s="2" t="s">
        <v>21</v>
      </c>
      <c r="L4" s="7">
        <v>1000000</v>
      </c>
      <c r="N4" s="2" t="s">
        <v>19</v>
      </c>
      <c r="O4" s="7">
        <v>500000</v>
      </c>
    </row>
    <row r="5" spans="2:15" s="4" customFormat="1" ht="30" customHeight="1" x14ac:dyDescent="0.25">
      <c r="B5" s="2" t="s">
        <v>5</v>
      </c>
      <c r="C5" s="7">
        <v>600000</v>
      </c>
      <c r="E5" s="2" t="s">
        <v>13</v>
      </c>
      <c r="F5" s="7">
        <v>300000</v>
      </c>
      <c r="H5" s="2" t="s">
        <v>17</v>
      </c>
      <c r="I5" s="7">
        <v>400000</v>
      </c>
      <c r="K5" s="2"/>
      <c r="L5" s="7"/>
      <c r="N5" s="2"/>
      <c r="O5" s="7"/>
    </row>
    <row r="6" spans="2:15" s="4" customFormat="1" ht="30" customHeight="1" x14ac:dyDescent="0.25">
      <c r="B6" s="2"/>
      <c r="C6" s="7"/>
      <c r="E6" s="2"/>
      <c r="F6" s="7"/>
      <c r="H6" s="2" t="s">
        <v>12</v>
      </c>
      <c r="I6" s="7">
        <v>500000</v>
      </c>
      <c r="K6" s="2"/>
      <c r="L6" s="7"/>
      <c r="N6" s="2"/>
      <c r="O6" s="7"/>
    </row>
    <row r="7" spans="2:15" s="4" customFormat="1" ht="30" customHeight="1" x14ac:dyDescent="0.25">
      <c r="B7" s="2"/>
      <c r="C7" s="7"/>
      <c r="E7" s="2"/>
      <c r="F7" s="7"/>
      <c r="H7" s="2"/>
      <c r="I7" s="7"/>
      <c r="K7" s="2"/>
      <c r="L7" s="7"/>
      <c r="N7" s="2"/>
      <c r="O7" s="7"/>
    </row>
    <row r="8" spans="2:15" s="4" customFormat="1" ht="30" customHeight="1" x14ac:dyDescent="0.25">
      <c r="B8" s="2"/>
      <c r="C8" s="7"/>
      <c r="E8" s="2"/>
      <c r="F8" s="7"/>
      <c r="H8" s="2"/>
      <c r="I8" s="7"/>
      <c r="K8" s="2"/>
      <c r="L8" s="7"/>
      <c r="N8" s="2"/>
      <c r="O8" s="7"/>
    </row>
    <row r="9" spans="2:15" s="4" customFormat="1" ht="30" customHeight="1" x14ac:dyDescent="0.25">
      <c r="B9" s="2"/>
      <c r="C9" s="7"/>
      <c r="E9" s="2"/>
      <c r="F9" s="7"/>
      <c r="H9" s="2"/>
      <c r="I9" s="7"/>
      <c r="K9" s="2"/>
      <c r="L9" s="7"/>
      <c r="N9" s="2"/>
      <c r="O9" s="7"/>
    </row>
    <row r="10" spans="2:15" s="4" customFormat="1" ht="30" customHeight="1" x14ac:dyDescent="0.25">
      <c r="B10" s="2"/>
      <c r="C10" s="7"/>
      <c r="E10" s="2"/>
      <c r="F10" s="7"/>
      <c r="H10" s="2"/>
      <c r="I10" s="7"/>
      <c r="K10" s="2"/>
      <c r="L10" s="7"/>
      <c r="N10" s="2"/>
      <c r="O10" s="7"/>
    </row>
    <row r="11" spans="2:15" s="4" customFormat="1" ht="30" customHeight="1" x14ac:dyDescent="0.25">
      <c r="B11" s="2"/>
      <c r="C11" s="7"/>
      <c r="E11" s="2"/>
      <c r="F11" s="7"/>
      <c r="H11" s="2"/>
      <c r="I11" s="7"/>
      <c r="K11" s="2"/>
      <c r="L11" s="7"/>
      <c r="N11" s="2"/>
      <c r="O11" s="7"/>
    </row>
    <row r="12" spans="2:15" s="4" customFormat="1" ht="30" customHeight="1" x14ac:dyDescent="0.25">
      <c r="B12" s="2"/>
      <c r="C12" s="7"/>
      <c r="E12" s="2"/>
      <c r="F12" s="7"/>
      <c r="H12" s="2"/>
      <c r="I12" s="7"/>
      <c r="K12" s="2"/>
      <c r="L12" s="7"/>
      <c r="N12" s="2"/>
      <c r="O12" s="7"/>
    </row>
    <row r="13" spans="2:15" s="21" customFormat="1" ht="33.75" customHeight="1" x14ac:dyDescent="0.25">
      <c r="B13" s="19" t="s">
        <v>7</v>
      </c>
      <c r="C13" s="20">
        <f>SUBTOTAL(9,Table1[Định mức])</f>
        <v>3000000</v>
      </c>
      <c r="E13" s="19" t="s">
        <v>7</v>
      </c>
      <c r="F13" s="20">
        <f>SUBTOTAL(9,Table14[Định mức])</f>
        <v>2800000</v>
      </c>
      <c r="H13" s="19" t="s">
        <v>7</v>
      </c>
      <c r="I13" s="20">
        <f>SUBTOTAL(9,Table16[Định mức])</f>
        <v>1900000</v>
      </c>
      <c r="K13" s="19" t="s">
        <v>7</v>
      </c>
      <c r="L13" s="20">
        <f>SUBTOTAL(9,Table18[Định mức])</f>
        <v>1500000</v>
      </c>
      <c r="N13" s="19" t="s">
        <v>7</v>
      </c>
      <c r="O13" s="20">
        <f>SUBTOTAL(9,Table110[Định mức])</f>
        <v>800000</v>
      </c>
    </row>
    <row r="14" spans="2:15" s="4" customFormat="1" ht="27.75" customHeight="1" x14ac:dyDescent="0.25">
      <c r="B14" s="2"/>
      <c r="C14" s="3"/>
      <c r="E14" s="2"/>
      <c r="F14" s="3"/>
      <c r="H14" s="2"/>
      <c r="I14" s="3"/>
      <c r="K14" s="2"/>
      <c r="L14" s="3"/>
      <c r="N14" s="2"/>
      <c r="O14" s="3"/>
    </row>
    <row r="15" spans="2:15" s="4" customFormat="1" ht="27.75" customHeight="1" x14ac:dyDescent="0.25">
      <c r="B15" s="2"/>
      <c r="C15" s="3"/>
      <c r="E15" s="2"/>
      <c r="F15" s="3"/>
      <c r="H15" s="2"/>
      <c r="I15" s="3"/>
      <c r="K15" s="2"/>
      <c r="L15" s="3"/>
      <c r="N15" s="2"/>
      <c r="O15" s="3"/>
    </row>
    <row r="16" spans="2:15" s="4" customFormat="1" ht="27.75" customHeight="1" x14ac:dyDescent="0.25">
      <c r="B16" s="2"/>
      <c r="C16" s="3"/>
      <c r="E16" s="2"/>
      <c r="F16" s="3"/>
      <c r="H16" s="2"/>
      <c r="I16" s="3"/>
      <c r="K16" s="2"/>
      <c r="L16" s="3"/>
      <c r="N16" s="2"/>
      <c r="O16" s="3"/>
    </row>
    <row r="17" spans="2:15" s="4" customFormat="1" ht="27.75" customHeight="1" x14ac:dyDescent="0.25">
      <c r="B17" s="2"/>
      <c r="C17" s="3"/>
      <c r="E17" s="2"/>
      <c r="F17" s="3"/>
      <c r="H17" s="2"/>
      <c r="I17" s="3"/>
      <c r="K17" s="2"/>
      <c r="L17" s="3"/>
      <c r="N17" s="2"/>
      <c r="O17" s="3"/>
    </row>
    <row r="18" spans="2:15" s="4" customFormat="1" ht="27.75" customHeight="1" x14ac:dyDescent="0.25">
      <c r="B18" s="2"/>
      <c r="C18" s="3"/>
      <c r="E18" s="2"/>
      <c r="F18" s="3"/>
      <c r="H18" s="2"/>
      <c r="I18" s="3"/>
      <c r="K18" s="2"/>
      <c r="L18" s="3"/>
      <c r="N18" s="2"/>
      <c r="O18" s="3"/>
    </row>
    <row r="19" spans="2:15" s="21" customFormat="1" ht="27.75" customHeight="1" x14ac:dyDescent="0.25">
      <c r="B19" s="52"/>
      <c r="C19" s="53"/>
      <c r="E19" s="52"/>
      <c r="F19" s="53"/>
      <c r="H19" s="52"/>
      <c r="I19" s="53"/>
      <c r="K19" s="52"/>
      <c r="L19" s="53"/>
      <c r="N19" s="52"/>
      <c r="O19" s="53"/>
    </row>
    <row r="20" spans="2:15" s="21" customFormat="1" ht="27.75" customHeight="1" x14ac:dyDescent="0.25">
      <c r="B20" s="52"/>
      <c r="C20" s="53"/>
      <c r="E20" s="52"/>
      <c r="F20" s="53"/>
      <c r="H20" s="52"/>
      <c r="I20" s="53"/>
      <c r="K20" s="52"/>
      <c r="L20" s="53"/>
      <c r="N20" s="52"/>
      <c r="O20" s="53"/>
    </row>
    <row r="21" spans="2:15" s="21" customFormat="1" ht="27.75" customHeight="1" x14ac:dyDescent="0.25">
      <c r="B21" s="52"/>
      <c r="C21" s="53"/>
      <c r="E21" s="52"/>
      <c r="F21" s="53"/>
      <c r="H21" s="52"/>
      <c r="I21" s="53"/>
      <c r="K21" s="52"/>
      <c r="L21" s="53"/>
      <c r="N21" s="52"/>
      <c r="O21" s="53"/>
    </row>
    <row r="22" spans="2:15" s="21" customFormat="1" ht="27.75" customHeight="1" x14ac:dyDescent="0.25">
      <c r="B22" s="52"/>
      <c r="C22" s="53"/>
      <c r="E22" s="52"/>
      <c r="F22" s="53"/>
      <c r="H22" s="52"/>
      <c r="I22" s="53"/>
      <c r="K22" s="52"/>
      <c r="L22" s="53"/>
      <c r="N22" s="52"/>
      <c r="O22" s="53"/>
    </row>
    <row r="23" spans="2:15" s="21" customFormat="1" ht="27.75" customHeight="1" x14ac:dyDescent="0.25">
      <c r="B23" s="52"/>
      <c r="C23" s="53"/>
      <c r="E23" s="52"/>
      <c r="F23" s="53"/>
      <c r="H23" s="52"/>
      <c r="I23" s="53"/>
      <c r="K23" s="52"/>
      <c r="L23" s="53"/>
      <c r="N23" s="52"/>
      <c r="O23" s="53"/>
    </row>
    <row r="24" spans="2:15" s="21" customFormat="1" ht="27.75" customHeight="1" x14ac:dyDescent="0.25">
      <c r="B24" s="52"/>
      <c r="C24" s="53"/>
      <c r="E24" s="52"/>
      <c r="F24" s="53"/>
      <c r="H24" s="52"/>
      <c r="I24" s="53"/>
      <c r="K24" s="52"/>
      <c r="L24" s="53"/>
      <c r="N24" s="52"/>
      <c r="O24" s="53"/>
    </row>
    <row r="25" spans="2:15" s="21" customFormat="1" ht="27.75" customHeight="1" x14ac:dyDescent="0.25">
      <c r="B25" s="52"/>
      <c r="C25" s="53"/>
      <c r="E25" s="52"/>
      <c r="F25" s="53"/>
      <c r="H25" s="52"/>
      <c r="I25" s="53"/>
      <c r="K25" s="52"/>
      <c r="L25" s="53"/>
      <c r="N25" s="52"/>
      <c r="O25" s="53"/>
    </row>
    <row r="26" spans="2:15" s="21" customFormat="1" ht="27.75" customHeight="1" x14ac:dyDescent="0.25">
      <c r="B26" s="52"/>
      <c r="C26" s="53"/>
      <c r="E26" s="52"/>
      <c r="F26" s="53"/>
      <c r="H26" s="52"/>
      <c r="I26" s="53"/>
      <c r="K26" s="52"/>
      <c r="L26" s="53"/>
      <c r="N26" s="52"/>
      <c r="O26" s="53"/>
    </row>
    <row r="27" spans="2:15" ht="27.75" customHeight="1" x14ac:dyDescent="0.25">
      <c r="B27" s="52"/>
      <c r="C27" s="53"/>
      <c r="E27" s="52"/>
      <c r="F27" s="53"/>
      <c r="H27" s="52"/>
      <c r="I27" s="53"/>
      <c r="K27" s="52"/>
      <c r="L27" s="53"/>
      <c r="N27" s="52"/>
      <c r="O27" s="53"/>
    </row>
    <row r="31" spans="2:15" ht="26.25" customHeight="1" x14ac:dyDescent="0.25">
      <c r="B31" s="55" t="str">
        <f t="shared" ref="B31:B40" si="0">$B$1</f>
        <v>Chi phí thiết yếu</v>
      </c>
      <c r="C31" s="56" t="str">
        <f>B3</f>
        <v>Nhà ở</v>
      </c>
      <c r="E31" s="54" t="str" cm="1">
        <f t="array" ref="E31:E78">_xlfn.CHOOSECOLS(B31:C78,1)</f>
        <v>Chi phí thiết yếu</v>
      </c>
      <c r="F31" s="57" t="str" cm="1">
        <f t="array" ref="F31:F78">_xlfn.CHOOSECOLS(B31:C78,2)</f>
        <v>Nhà ở</v>
      </c>
    </row>
    <row r="32" spans="2:15" ht="26.25" customHeight="1" x14ac:dyDescent="0.25">
      <c r="B32" s="55" t="str">
        <f t="shared" si="0"/>
        <v>Chi phí thiết yếu</v>
      </c>
      <c r="C32" s="56" t="str">
        <f t="shared" ref="C32:C40" si="1">B4</f>
        <v>Hóa đơn hàng tháng</v>
      </c>
      <c r="E32" s="54" t="str">
        <v>Chi phí thiết yếu</v>
      </c>
      <c r="F32" s="57" t="str">
        <v>Hóa đơn hàng tháng</v>
      </c>
    </row>
    <row r="33" spans="2:6" ht="26.25" customHeight="1" x14ac:dyDescent="0.25">
      <c r="B33" s="55" t="str">
        <f t="shared" si="0"/>
        <v>Chi phí thiết yếu</v>
      </c>
      <c r="C33" s="56" t="str">
        <f t="shared" si="1"/>
        <v>Đi lại</v>
      </c>
      <c r="E33" s="54" t="str">
        <v>Chi phí thiết yếu</v>
      </c>
      <c r="F33" s="57" t="str">
        <v>Đi lại</v>
      </c>
    </row>
    <row r="34" spans="2:6" ht="26.25" customHeight="1" x14ac:dyDescent="0.25">
      <c r="B34" s="55" t="str">
        <f t="shared" si="0"/>
        <v>Chi phí thiết yếu</v>
      </c>
      <c r="C34" s="56">
        <f t="shared" si="1"/>
        <v>0</v>
      </c>
      <c r="E34" s="54" t="str">
        <v>Chi phí thiết yếu</v>
      </c>
      <c r="F34" s="57">
        <v>0</v>
      </c>
    </row>
    <row r="35" spans="2:6" ht="26.25" customHeight="1" x14ac:dyDescent="0.25">
      <c r="B35" s="55" t="str">
        <f t="shared" si="0"/>
        <v>Chi phí thiết yếu</v>
      </c>
      <c r="C35" s="56">
        <f t="shared" si="1"/>
        <v>0</v>
      </c>
      <c r="E35" s="54" t="str">
        <v>Chi phí thiết yếu</v>
      </c>
      <c r="F35" s="57">
        <v>0</v>
      </c>
    </row>
    <row r="36" spans="2:6" ht="26.25" customHeight="1" x14ac:dyDescent="0.25">
      <c r="B36" s="55" t="str">
        <f t="shared" si="0"/>
        <v>Chi phí thiết yếu</v>
      </c>
      <c r="C36" s="56">
        <f t="shared" si="1"/>
        <v>0</v>
      </c>
      <c r="E36" s="54" t="str">
        <v>Chi phí thiết yếu</v>
      </c>
      <c r="F36" s="57">
        <v>0</v>
      </c>
    </row>
    <row r="37" spans="2:6" ht="26.25" customHeight="1" x14ac:dyDescent="0.25">
      <c r="B37" s="55" t="str">
        <f t="shared" si="0"/>
        <v>Chi phí thiết yếu</v>
      </c>
      <c r="C37" s="56">
        <f t="shared" si="1"/>
        <v>0</v>
      </c>
      <c r="E37" s="54" t="str">
        <v>Chi phí thiết yếu</v>
      </c>
      <c r="F37" s="57">
        <v>0</v>
      </c>
    </row>
    <row r="38" spans="2:6" ht="26.25" customHeight="1" x14ac:dyDescent="0.25">
      <c r="B38" s="55" t="str">
        <f t="shared" si="0"/>
        <v>Chi phí thiết yếu</v>
      </c>
      <c r="C38" s="56">
        <f t="shared" si="1"/>
        <v>0</v>
      </c>
      <c r="E38" s="54" t="str">
        <v>Chi phí thiết yếu</v>
      </c>
      <c r="F38" s="57">
        <v>0</v>
      </c>
    </row>
    <row r="39" spans="2:6" ht="26.25" customHeight="1" x14ac:dyDescent="0.25">
      <c r="B39" s="55" t="str">
        <f t="shared" si="0"/>
        <v>Chi phí thiết yếu</v>
      </c>
      <c r="C39" s="56">
        <f t="shared" si="1"/>
        <v>0</v>
      </c>
      <c r="E39" s="54" t="str">
        <v>Chi phí thiết yếu</v>
      </c>
      <c r="F39" s="57">
        <v>0</v>
      </c>
    </row>
    <row r="40" spans="2:6" ht="26.25" customHeight="1" x14ac:dyDescent="0.25">
      <c r="B40" s="55" t="str">
        <f t="shared" si="0"/>
        <v>Chi phí thiết yếu</v>
      </c>
      <c r="C40" s="56">
        <f t="shared" si="1"/>
        <v>0</v>
      </c>
      <c r="E40" s="54" t="str">
        <v>Chi phí thiết yếu</v>
      </c>
      <c r="F40" s="57">
        <v>0</v>
      </c>
    </row>
    <row r="41" spans="2:6" ht="26.25" customHeight="1" x14ac:dyDescent="0.25">
      <c r="B41" s="55" t="str">
        <f t="shared" ref="B41:B49" si="2">$E$1</f>
        <v>Chi phí cá nhân</v>
      </c>
      <c r="C41" s="56" t="str">
        <f>E3</f>
        <v>Ăn uống</v>
      </c>
      <c r="E41" s="54" t="str">
        <v>Chi phí cá nhân</v>
      </c>
      <c r="F41" s="57" t="str">
        <v>Ăn uống</v>
      </c>
    </row>
    <row r="42" spans="2:6" ht="26.25" customHeight="1" x14ac:dyDescent="0.25">
      <c r="B42" s="55" t="str">
        <f t="shared" si="2"/>
        <v>Chi phí cá nhân</v>
      </c>
      <c r="C42" s="56" t="str">
        <f t="shared" ref="C42:C49" si="3">E4</f>
        <v>Học tập, phát triển</v>
      </c>
      <c r="E42" s="54" t="str">
        <v>Chi phí cá nhân</v>
      </c>
      <c r="F42" s="57" t="str">
        <v>Học tập, phát triển</v>
      </c>
    </row>
    <row r="43" spans="2:6" ht="26.25" customHeight="1" x14ac:dyDescent="0.25">
      <c r="B43" s="55" t="str">
        <f t="shared" si="2"/>
        <v>Chi phí cá nhân</v>
      </c>
      <c r="C43" s="56" t="str">
        <f t="shared" si="3"/>
        <v>Sức khỏe, làm đẹp</v>
      </c>
      <c r="E43" s="54" t="str">
        <v>Chi phí cá nhân</v>
      </c>
      <c r="F43" s="57" t="str">
        <v>Sức khỏe, làm đẹp</v>
      </c>
    </row>
    <row r="44" spans="2:6" ht="26.25" customHeight="1" x14ac:dyDescent="0.25">
      <c r="B44" s="55" t="str">
        <f t="shared" si="2"/>
        <v>Chi phí cá nhân</v>
      </c>
      <c r="C44" s="56">
        <f t="shared" si="3"/>
        <v>0</v>
      </c>
      <c r="E44" s="54" t="str">
        <v>Chi phí cá nhân</v>
      </c>
      <c r="F44" s="57">
        <v>0</v>
      </c>
    </row>
    <row r="45" spans="2:6" ht="26.25" customHeight="1" x14ac:dyDescent="0.25">
      <c r="B45" s="55" t="str">
        <f t="shared" si="2"/>
        <v>Chi phí cá nhân</v>
      </c>
      <c r="C45" s="56">
        <f t="shared" si="3"/>
        <v>0</v>
      </c>
      <c r="E45" s="54" t="str">
        <v>Chi phí cá nhân</v>
      </c>
      <c r="F45" s="57">
        <v>0</v>
      </c>
    </row>
    <row r="46" spans="2:6" ht="26.25" customHeight="1" x14ac:dyDescent="0.25">
      <c r="B46" s="55" t="str">
        <f t="shared" si="2"/>
        <v>Chi phí cá nhân</v>
      </c>
      <c r="C46" s="56">
        <f t="shared" si="3"/>
        <v>0</v>
      </c>
      <c r="E46" s="54" t="str">
        <v>Chi phí cá nhân</v>
      </c>
      <c r="F46" s="57">
        <v>0</v>
      </c>
    </row>
    <row r="47" spans="2:6" ht="26.25" customHeight="1" x14ac:dyDescent="0.25">
      <c r="B47" s="55" t="str">
        <f t="shared" si="2"/>
        <v>Chi phí cá nhân</v>
      </c>
      <c r="C47" s="56">
        <f t="shared" si="3"/>
        <v>0</v>
      </c>
      <c r="E47" s="54" t="str">
        <v>Chi phí cá nhân</v>
      </c>
      <c r="F47" s="57">
        <v>0</v>
      </c>
    </row>
    <row r="48" spans="2:6" ht="26.25" customHeight="1" x14ac:dyDescent="0.25">
      <c r="B48" s="55" t="str">
        <f t="shared" si="2"/>
        <v>Chi phí cá nhân</v>
      </c>
      <c r="C48" s="56">
        <f t="shared" si="3"/>
        <v>0</v>
      </c>
      <c r="E48" s="54" t="str">
        <v>Chi phí cá nhân</v>
      </c>
      <c r="F48" s="57">
        <v>0</v>
      </c>
    </row>
    <row r="49" spans="2:6" ht="26.25" customHeight="1" x14ac:dyDescent="0.25">
      <c r="B49" s="55" t="str">
        <f t="shared" si="2"/>
        <v>Chi phí cá nhân</v>
      </c>
      <c r="C49" s="56">
        <f t="shared" si="3"/>
        <v>0</v>
      </c>
      <c r="E49" s="54" t="str">
        <v>Chi phí cá nhân</v>
      </c>
      <c r="F49" s="57">
        <v>0</v>
      </c>
    </row>
    <row r="50" spans="2:6" ht="26.25" customHeight="1" x14ac:dyDescent="0.25">
      <c r="B50" s="55" t="str">
        <f>$H$1</f>
        <v>Giải trí và xã hội</v>
      </c>
      <c r="C50" s="56" t="str">
        <f>H3</f>
        <v>Du lịch</v>
      </c>
      <c r="E50" s="54" t="str">
        <v>Giải trí và xã hội</v>
      </c>
      <c r="F50" s="57" t="str">
        <v>Du lịch</v>
      </c>
    </row>
    <row r="51" spans="2:6" ht="26.25" customHeight="1" x14ac:dyDescent="0.25">
      <c r="B51" s="55" t="str">
        <f t="shared" ref="B51:B58" si="4">$H$1</f>
        <v>Giải trí và xã hội</v>
      </c>
      <c r="C51" s="56" t="str">
        <f t="shared" ref="C51:C58" si="5">H4</f>
        <v>Giải trí</v>
      </c>
      <c r="E51" s="54" t="str">
        <v>Giải trí và xã hội</v>
      </c>
      <c r="F51" s="57" t="str">
        <v>Giải trí</v>
      </c>
    </row>
    <row r="52" spans="2:6" ht="26.25" customHeight="1" x14ac:dyDescent="0.25">
      <c r="B52" s="55" t="str">
        <f t="shared" si="4"/>
        <v>Giải trí và xã hội</v>
      </c>
      <c r="C52" s="56" t="str">
        <f t="shared" si="5"/>
        <v>Bạn bè, đồng nghiệp</v>
      </c>
      <c r="E52" s="54" t="str">
        <v>Giải trí và xã hội</v>
      </c>
      <c r="F52" s="57" t="str">
        <v>Bạn bè, đồng nghiệp</v>
      </c>
    </row>
    <row r="53" spans="2:6" ht="26.25" customHeight="1" x14ac:dyDescent="0.25">
      <c r="B53" s="55" t="str">
        <f t="shared" si="4"/>
        <v>Giải trí và xã hội</v>
      </c>
      <c r="C53" s="56" t="str">
        <f t="shared" si="5"/>
        <v>Mua sắm</v>
      </c>
      <c r="E53" s="54" t="str">
        <v>Giải trí và xã hội</v>
      </c>
      <c r="F53" s="57" t="str">
        <v>Mua sắm</v>
      </c>
    </row>
    <row r="54" spans="2:6" ht="26.25" customHeight="1" x14ac:dyDescent="0.25">
      <c r="B54" s="55" t="str">
        <f t="shared" si="4"/>
        <v>Giải trí và xã hội</v>
      </c>
      <c r="C54" s="56">
        <f t="shared" si="5"/>
        <v>0</v>
      </c>
      <c r="E54" s="54" t="str">
        <v>Giải trí và xã hội</v>
      </c>
      <c r="F54" s="57">
        <v>0</v>
      </c>
    </row>
    <row r="55" spans="2:6" ht="26.25" customHeight="1" x14ac:dyDescent="0.25">
      <c r="B55" s="55" t="str">
        <f t="shared" si="4"/>
        <v>Giải trí và xã hội</v>
      </c>
      <c r="C55" s="56">
        <f t="shared" si="5"/>
        <v>0</v>
      </c>
      <c r="E55" s="54" t="str">
        <v>Giải trí và xã hội</v>
      </c>
      <c r="F55" s="57">
        <v>0</v>
      </c>
    </row>
    <row r="56" spans="2:6" ht="26.25" customHeight="1" x14ac:dyDescent="0.25">
      <c r="B56" s="55" t="str">
        <f t="shared" si="4"/>
        <v>Giải trí và xã hội</v>
      </c>
      <c r="C56" s="56">
        <f t="shared" si="5"/>
        <v>0</v>
      </c>
      <c r="E56" s="54" t="str">
        <v>Giải trí và xã hội</v>
      </c>
      <c r="F56" s="57">
        <v>0</v>
      </c>
    </row>
    <row r="57" spans="2:6" ht="26.25" customHeight="1" x14ac:dyDescent="0.25">
      <c r="B57" s="55" t="str">
        <f t="shared" si="4"/>
        <v>Giải trí và xã hội</v>
      </c>
      <c r="C57" s="56">
        <f t="shared" si="5"/>
        <v>0</v>
      </c>
      <c r="E57" s="54" t="str">
        <v>Giải trí và xã hội</v>
      </c>
      <c r="F57" s="57">
        <v>0</v>
      </c>
    </row>
    <row r="58" spans="2:6" ht="26.25" customHeight="1" x14ac:dyDescent="0.25">
      <c r="B58" s="55" t="str">
        <f t="shared" si="4"/>
        <v>Giải trí và xã hội</v>
      </c>
      <c r="C58" s="56">
        <f t="shared" si="5"/>
        <v>0</v>
      </c>
      <c r="E58" s="54" t="str">
        <v>Giải trí và xã hội</v>
      </c>
      <c r="F58" s="57">
        <v>0</v>
      </c>
    </row>
    <row r="59" spans="2:6" ht="26.25" customHeight="1" x14ac:dyDescent="0.25">
      <c r="B59" s="55" t="str">
        <f>$K$1</f>
        <v>Tiết kiệm, đầu tư</v>
      </c>
      <c r="C59" s="56" t="str">
        <f>K3</f>
        <v>Tiết kiệm</v>
      </c>
      <c r="E59" s="54" t="str">
        <v>Tiết kiệm, đầu tư</v>
      </c>
      <c r="F59" s="57" t="str">
        <v>Tiết kiệm</v>
      </c>
    </row>
    <row r="60" spans="2:6" ht="26.25" customHeight="1" x14ac:dyDescent="0.25">
      <c r="B60" s="55" t="str">
        <f t="shared" ref="B60:B68" si="6">$K$1</f>
        <v>Tiết kiệm, đầu tư</v>
      </c>
      <c r="C60" s="56" t="str">
        <f t="shared" ref="C60:C68" si="7">K4</f>
        <v>Đầu tư</v>
      </c>
      <c r="E60" s="54" t="str">
        <v>Tiết kiệm, đầu tư</v>
      </c>
      <c r="F60" s="57" t="str">
        <v>Đầu tư</v>
      </c>
    </row>
    <row r="61" spans="2:6" ht="26.25" customHeight="1" x14ac:dyDescent="0.25">
      <c r="B61" s="55" t="str">
        <f t="shared" si="6"/>
        <v>Tiết kiệm, đầu tư</v>
      </c>
      <c r="C61" s="56">
        <f t="shared" si="7"/>
        <v>0</v>
      </c>
      <c r="E61" s="54" t="str">
        <v>Tiết kiệm, đầu tư</v>
      </c>
      <c r="F61" s="57">
        <v>0</v>
      </c>
    </row>
    <row r="62" spans="2:6" ht="26.25" customHeight="1" x14ac:dyDescent="0.25">
      <c r="B62" s="55" t="str">
        <f t="shared" si="6"/>
        <v>Tiết kiệm, đầu tư</v>
      </c>
      <c r="C62" s="56">
        <f t="shared" si="7"/>
        <v>0</v>
      </c>
      <c r="E62" s="54" t="str">
        <v>Tiết kiệm, đầu tư</v>
      </c>
      <c r="F62" s="57">
        <v>0</v>
      </c>
    </row>
    <row r="63" spans="2:6" ht="26.25" customHeight="1" x14ac:dyDescent="0.25">
      <c r="B63" s="55" t="str">
        <f t="shared" si="6"/>
        <v>Tiết kiệm, đầu tư</v>
      </c>
      <c r="C63" s="56">
        <f t="shared" si="7"/>
        <v>0</v>
      </c>
      <c r="E63" s="54" t="str">
        <v>Tiết kiệm, đầu tư</v>
      </c>
      <c r="F63" s="57">
        <v>0</v>
      </c>
    </row>
    <row r="64" spans="2:6" ht="26.25" customHeight="1" x14ac:dyDescent="0.25">
      <c r="B64" s="55" t="str">
        <f t="shared" si="6"/>
        <v>Tiết kiệm, đầu tư</v>
      </c>
      <c r="C64" s="56">
        <f t="shared" si="7"/>
        <v>0</v>
      </c>
      <c r="E64" s="54" t="str">
        <v>Tiết kiệm, đầu tư</v>
      </c>
      <c r="F64" s="57">
        <v>0</v>
      </c>
    </row>
    <row r="65" spans="2:6" ht="26.25" customHeight="1" x14ac:dyDescent="0.25">
      <c r="B65" s="55" t="str">
        <f t="shared" si="6"/>
        <v>Tiết kiệm, đầu tư</v>
      </c>
      <c r="C65" s="56">
        <f t="shared" si="7"/>
        <v>0</v>
      </c>
      <c r="E65" s="54" t="str">
        <v>Tiết kiệm, đầu tư</v>
      </c>
      <c r="F65" s="57">
        <v>0</v>
      </c>
    </row>
    <row r="66" spans="2:6" ht="26.25" customHeight="1" x14ac:dyDescent="0.25">
      <c r="B66" s="55" t="str">
        <f t="shared" si="6"/>
        <v>Tiết kiệm, đầu tư</v>
      </c>
      <c r="C66" s="56">
        <f t="shared" si="7"/>
        <v>0</v>
      </c>
      <c r="E66" s="54" t="str">
        <v>Tiết kiệm, đầu tư</v>
      </c>
      <c r="F66" s="57">
        <v>0</v>
      </c>
    </row>
    <row r="67" spans="2:6" ht="26.25" customHeight="1" x14ac:dyDescent="0.25">
      <c r="B67" s="55" t="str">
        <f t="shared" si="6"/>
        <v>Tiết kiệm, đầu tư</v>
      </c>
      <c r="C67" s="56">
        <f t="shared" si="7"/>
        <v>0</v>
      </c>
      <c r="E67" s="54" t="str">
        <v>Tiết kiệm, đầu tư</v>
      </c>
      <c r="F67" s="57">
        <v>0</v>
      </c>
    </row>
    <row r="68" spans="2:6" ht="26.25" customHeight="1" x14ac:dyDescent="0.25">
      <c r="B68" s="55" t="str">
        <f t="shared" si="6"/>
        <v>Tiết kiệm, đầu tư</v>
      </c>
      <c r="C68" s="56">
        <f t="shared" si="7"/>
        <v>0</v>
      </c>
      <c r="E68" s="54" t="str">
        <v>Tiết kiệm, đầu tư</v>
      </c>
      <c r="F68" s="57">
        <v>0</v>
      </c>
    </row>
    <row r="69" spans="2:6" ht="26.25" customHeight="1" x14ac:dyDescent="0.25">
      <c r="B69" s="55" t="str">
        <f>$N$1</f>
        <v>Quà tặng, hiếu, hỉ</v>
      </c>
      <c r="C69" s="56" t="str">
        <f t="shared" ref="C69:C78" si="8">N3</f>
        <v>Quà tặng</v>
      </c>
      <c r="E69" s="54" t="str">
        <v>Quà tặng, hiếu, hỉ</v>
      </c>
      <c r="F69" s="57" t="str">
        <v>Quà tặng</v>
      </c>
    </row>
    <row r="70" spans="2:6" ht="26.25" customHeight="1" x14ac:dyDescent="0.25">
      <c r="B70" s="55" t="str">
        <f t="shared" ref="B70:B78" si="9">$N$1</f>
        <v>Quà tặng, hiếu, hỉ</v>
      </c>
      <c r="C70" s="56" t="str">
        <f t="shared" si="8"/>
        <v>Hiếu, hỉ</v>
      </c>
      <c r="E70" s="54" t="str">
        <v>Quà tặng, hiếu, hỉ</v>
      </c>
      <c r="F70" s="57" t="str">
        <v>Hiếu, hỉ</v>
      </c>
    </row>
    <row r="71" spans="2:6" ht="26.25" customHeight="1" x14ac:dyDescent="0.25">
      <c r="B71" s="55" t="str">
        <f t="shared" si="9"/>
        <v>Quà tặng, hiếu, hỉ</v>
      </c>
      <c r="C71" s="56">
        <f t="shared" si="8"/>
        <v>0</v>
      </c>
      <c r="E71" s="54" t="str">
        <v>Quà tặng, hiếu, hỉ</v>
      </c>
      <c r="F71" s="57">
        <v>0</v>
      </c>
    </row>
    <row r="72" spans="2:6" ht="26.25" customHeight="1" x14ac:dyDescent="0.25">
      <c r="B72" s="55" t="str">
        <f t="shared" si="9"/>
        <v>Quà tặng, hiếu, hỉ</v>
      </c>
      <c r="C72" s="56">
        <f t="shared" si="8"/>
        <v>0</v>
      </c>
      <c r="E72" s="54" t="str">
        <v>Quà tặng, hiếu, hỉ</v>
      </c>
      <c r="F72" s="57">
        <v>0</v>
      </c>
    </row>
    <row r="73" spans="2:6" ht="26.25" customHeight="1" x14ac:dyDescent="0.25">
      <c r="B73" s="55" t="str">
        <f t="shared" si="9"/>
        <v>Quà tặng, hiếu, hỉ</v>
      </c>
      <c r="C73" s="56">
        <f t="shared" si="8"/>
        <v>0</v>
      </c>
      <c r="E73" s="54" t="str">
        <v>Quà tặng, hiếu, hỉ</v>
      </c>
      <c r="F73" s="57">
        <v>0</v>
      </c>
    </row>
    <row r="74" spans="2:6" ht="26.25" customHeight="1" x14ac:dyDescent="0.25">
      <c r="B74" s="55" t="str">
        <f t="shared" si="9"/>
        <v>Quà tặng, hiếu, hỉ</v>
      </c>
      <c r="C74" s="56">
        <f t="shared" si="8"/>
        <v>0</v>
      </c>
      <c r="E74" s="54" t="str">
        <v>Quà tặng, hiếu, hỉ</v>
      </c>
      <c r="F74" s="57">
        <v>0</v>
      </c>
    </row>
    <row r="75" spans="2:6" ht="26.25" customHeight="1" x14ac:dyDescent="0.25">
      <c r="B75" s="55" t="str">
        <f t="shared" si="9"/>
        <v>Quà tặng, hiếu, hỉ</v>
      </c>
      <c r="C75" s="56">
        <f t="shared" si="8"/>
        <v>0</v>
      </c>
      <c r="E75" s="54" t="str">
        <v>Quà tặng, hiếu, hỉ</v>
      </c>
      <c r="F75" s="57">
        <v>0</v>
      </c>
    </row>
    <row r="76" spans="2:6" ht="26.25" customHeight="1" x14ac:dyDescent="0.25">
      <c r="B76" s="55" t="str">
        <f t="shared" si="9"/>
        <v>Quà tặng, hiếu, hỉ</v>
      </c>
      <c r="C76" s="56">
        <f t="shared" si="8"/>
        <v>0</v>
      </c>
      <c r="E76" s="54" t="str">
        <v>Quà tặng, hiếu, hỉ</v>
      </c>
      <c r="F76" s="57">
        <v>0</v>
      </c>
    </row>
    <row r="77" spans="2:6" ht="26.25" customHeight="1" x14ac:dyDescent="0.25">
      <c r="B77" s="55" t="str">
        <f t="shared" si="9"/>
        <v>Quà tặng, hiếu, hỉ</v>
      </c>
      <c r="C77" s="56">
        <f t="shared" si="8"/>
        <v>0</v>
      </c>
      <c r="E77" s="54" t="str">
        <v>Quà tặng, hiếu, hỉ</v>
      </c>
      <c r="F77" s="57">
        <v>0</v>
      </c>
    </row>
    <row r="78" spans="2:6" ht="26.25" customHeight="1" x14ac:dyDescent="0.25">
      <c r="B78" s="55" t="str">
        <f t="shared" si="9"/>
        <v>Quà tặng, hiếu, hỉ</v>
      </c>
      <c r="C78" s="56">
        <f t="shared" si="8"/>
        <v>0</v>
      </c>
      <c r="E78" s="54" t="str">
        <v>Quà tặng, hiếu, hỉ</v>
      </c>
      <c r="F78" s="57">
        <v>0</v>
      </c>
    </row>
    <row r="79" spans="2:6" ht="26.25" customHeight="1" x14ac:dyDescent="0.25">
      <c r="C79" s="56"/>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6CE46-9CDC-4921-8506-5E76562553B9}">
  <dimension ref="B3:F18"/>
  <sheetViews>
    <sheetView showGridLines="0" topLeftCell="A7" workbookViewId="0">
      <selection activeCell="A20" sqref="A20"/>
    </sheetView>
  </sheetViews>
  <sheetFormatPr defaultColWidth="14.8984375" defaultRowHeight="28.5" customHeight="1" x14ac:dyDescent="0.25"/>
  <cols>
    <col min="1" max="1" width="14.8984375" style="29"/>
    <col min="2" max="2" width="14.8984375" style="27"/>
    <col min="3" max="16384" width="14.8984375" style="29"/>
  </cols>
  <sheetData>
    <row r="3" spans="2:6" ht="28.5" customHeight="1" x14ac:dyDescent="0.25">
      <c r="B3" s="31" t="s">
        <v>85</v>
      </c>
      <c r="C3" s="30" t="s">
        <v>84</v>
      </c>
      <c r="D3" s="47" t="s">
        <v>100</v>
      </c>
      <c r="E3" s="107" t="s">
        <v>101</v>
      </c>
    </row>
    <row r="5" spans="2:6" ht="28.5" customHeight="1" x14ac:dyDescent="0.25">
      <c r="C5" s="32" t="s">
        <v>86</v>
      </c>
      <c r="D5" s="33" t="s">
        <v>87</v>
      </c>
      <c r="E5" s="36"/>
    </row>
    <row r="6" spans="2:6" ht="28.5" customHeight="1" x14ac:dyDescent="0.25">
      <c r="C6" s="34" t="s">
        <v>88</v>
      </c>
      <c r="D6" s="35" t="s">
        <v>89</v>
      </c>
      <c r="E6" s="44" t="s">
        <v>97</v>
      </c>
    </row>
    <row r="7" spans="2:6" ht="28.5" customHeight="1" x14ac:dyDescent="0.25">
      <c r="C7" s="37" t="s">
        <v>90</v>
      </c>
      <c r="D7" s="38" t="s">
        <v>91</v>
      </c>
      <c r="E7" s="45" t="s">
        <v>98</v>
      </c>
    </row>
    <row r="8" spans="2:6" ht="28.5" customHeight="1" x14ac:dyDescent="0.25">
      <c r="C8" s="46" t="s">
        <v>99</v>
      </c>
      <c r="D8" s="39" t="s">
        <v>92</v>
      </c>
      <c r="E8" s="40" t="s">
        <v>93</v>
      </c>
      <c r="F8" s="43" t="s">
        <v>96</v>
      </c>
    </row>
    <row r="9" spans="2:6" ht="28.5" customHeight="1" x14ac:dyDescent="0.25">
      <c r="C9" s="41" t="s">
        <v>94</v>
      </c>
      <c r="D9" s="42" t="s">
        <v>95</v>
      </c>
      <c r="E9" s="36"/>
    </row>
    <row r="10" spans="2:6" ht="28.5" customHeight="1" x14ac:dyDescent="0.25">
      <c r="C10" s="36"/>
      <c r="D10" s="36"/>
      <c r="E10" s="36"/>
    </row>
    <row r="11" spans="2:6" ht="28.5" customHeight="1" x14ac:dyDescent="0.25">
      <c r="C11" s="36"/>
      <c r="D11" s="36"/>
      <c r="E11" s="36"/>
    </row>
    <row r="12" spans="2:6" ht="28.5" customHeight="1" x14ac:dyDescent="0.25">
      <c r="C12" s="36"/>
      <c r="D12" s="36"/>
      <c r="E12" s="36"/>
    </row>
    <row r="13" spans="2:6" ht="28.5" customHeight="1" x14ac:dyDescent="0.25">
      <c r="C13" s="36"/>
      <c r="D13" s="36"/>
      <c r="E13" s="36"/>
    </row>
    <row r="14" spans="2:6" ht="28.5" customHeight="1" x14ac:dyDescent="0.25">
      <c r="C14" s="36"/>
      <c r="D14" s="36"/>
      <c r="E14" s="36"/>
    </row>
    <row r="15" spans="2:6" ht="28.5" customHeight="1" x14ac:dyDescent="0.25">
      <c r="C15" s="36"/>
      <c r="D15" s="36"/>
      <c r="E15" s="36"/>
    </row>
    <row r="16" spans="2:6" ht="28.5" customHeight="1" x14ac:dyDescent="0.25">
      <c r="C16" s="36"/>
      <c r="D16" s="36"/>
      <c r="E16" s="36"/>
    </row>
    <row r="17" spans="3:5" ht="28.5" customHeight="1" x14ac:dyDescent="0.25">
      <c r="C17" s="36"/>
      <c r="D17" s="36"/>
      <c r="E17" s="36"/>
    </row>
    <row r="18" spans="3:5" ht="28.5" customHeight="1" x14ac:dyDescent="0.25">
      <c r="C18" s="36"/>
      <c r="D18" s="36"/>
      <c r="E18" s="3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1867C-324D-43DE-B102-C41127C0C139}">
  <dimension ref="B2:E10"/>
  <sheetViews>
    <sheetView showGridLines="0" workbookViewId="0">
      <selection activeCell="D10" sqref="D10"/>
    </sheetView>
  </sheetViews>
  <sheetFormatPr defaultRowHeight="30" customHeight="1" x14ac:dyDescent="0.25"/>
  <cols>
    <col min="2" max="4" width="30.59765625" customWidth="1"/>
    <col min="5" max="5" width="38" customWidth="1"/>
  </cols>
  <sheetData>
    <row r="2" spans="2:5" ht="39" customHeight="1" x14ac:dyDescent="0.25">
      <c r="B2" s="50" t="s">
        <v>110</v>
      </c>
      <c r="C2" s="50" t="s">
        <v>111</v>
      </c>
      <c r="D2" s="50" t="s">
        <v>112</v>
      </c>
      <c r="E2" s="50" t="s">
        <v>113</v>
      </c>
    </row>
    <row r="3" spans="2:5" ht="30" customHeight="1" x14ac:dyDescent="0.25">
      <c r="B3" s="49" t="s">
        <v>114</v>
      </c>
      <c r="C3" s="49" t="s">
        <v>124</v>
      </c>
      <c r="D3" s="49" t="s">
        <v>115</v>
      </c>
      <c r="E3" s="49" t="s">
        <v>116</v>
      </c>
    </row>
    <row r="4" spans="2:5" ht="30" customHeight="1" x14ac:dyDescent="0.25">
      <c r="B4" s="49" t="s">
        <v>117</v>
      </c>
      <c r="C4" s="49" t="s">
        <v>125</v>
      </c>
      <c r="D4" s="49" t="s">
        <v>118</v>
      </c>
      <c r="E4" s="49" t="s">
        <v>121</v>
      </c>
    </row>
    <row r="5" spans="2:5" ht="30" customHeight="1" x14ac:dyDescent="0.25">
      <c r="B5" s="49" t="s">
        <v>120</v>
      </c>
      <c r="C5" s="49" t="s">
        <v>139</v>
      </c>
      <c r="D5" s="49" t="s">
        <v>127</v>
      </c>
      <c r="E5" s="49" t="s">
        <v>119</v>
      </c>
    </row>
    <row r="6" spans="2:5" ht="30" customHeight="1" x14ac:dyDescent="0.25">
      <c r="B6" s="49" t="s">
        <v>122</v>
      </c>
      <c r="C6" s="49" t="s">
        <v>149</v>
      </c>
      <c r="D6" s="49" t="s">
        <v>123</v>
      </c>
      <c r="E6" s="49" t="s">
        <v>128</v>
      </c>
    </row>
    <row r="7" spans="2:5" ht="30" customHeight="1" x14ac:dyDescent="0.25">
      <c r="B7" s="49" t="s">
        <v>126</v>
      </c>
      <c r="C7" s="49" t="s">
        <v>162</v>
      </c>
      <c r="D7" s="49" t="s">
        <v>129</v>
      </c>
      <c r="E7" s="49"/>
    </row>
    <row r="8" spans="2:5" ht="30" customHeight="1" x14ac:dyDescent="0.25">
      <c r="B8" s="49" t="s">
        <v>140</v>
      </c>
      <c r="C8" s="49"/>
      <c r="D8" s="49"/>
      <c r="E8" s="49"/>
    </row>
    <row r="9" spans="2:5" ht="30" customHeight="1" x14ac:dyDescent="0.25">
      <c r="B9" s="49"/>
      <c r="C9" s="49"/>
      <c r="D9" s="49"/>
      <c r="E9" s="49"/>
    </row>
    <row r="10" spans="2:5" ht="30" customHeight="1" x14ac:dyDescent="0.25">
      <c r="B10" s="49"/>
      <c r="C10" s="49"/>
      <c r="D10" s="49"/>
      <c r="E10" s="49"/>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a55c7dc3-d019-40fa-a91f-518114ee30cb}" enabled="1" method="Standard" siteId="{a0863201-77ea-4254-a23b-acb1c17a3ad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Công thức</vt:lpstr>
      <vt:lpstr>Chi tiêu</vt:lpstr>
      <vt:lpstr>Thu nhập</vt:lpstr>
      <vt:lpstr>Định mức</vt:lpstr>
      <vt:lpstr>Color</vt:lpstr>
      <vt:lpstr>Hàm sử dụng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Chien LIV</dc:creator>
  <cp:lastModifiedBy>NGUYEN THE QUANG 공장혁신팀</cp:lastModifiedBy>
  <dcterms:created xsi:type="dcterms:W3CDTF">2025-02-24T03:26:44Z</dcterms:created>
  <dcterms:modified xsi:type="dcterms:W3CDTF">2026-09-16T05:18:53Z</dcterms:modified>
</cp:coreProperties>
</file>